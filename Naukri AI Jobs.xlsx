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d.docs.live.net/37232589fd1da9fa/Documents/Professional/Bernstein Research/"/>
    </mc:Choice>
  </mc:AlternateContent>
  <xr:revisionPtr revIDLastSave="367" documentId="11_F25DC773A252ABDACC10486819D960305BDE58EF" xr6:coauthVersionLast="47" xr6:coauthVersionMax="47" xr10:uidLastSave="{232E0E65-6E15-441E-BFD8-9F361ABB9CF4}"/>
  <bookViews>
    <workbookView xWindow="-120" yWindow="-120" windowWidth="51840" windowHeight="21120" xr2:uid="{00000000-000D-0000-FFFF-FFFF00000000}"/>
  </bookViews>
  <sheets>
    <sheet name="Naukri Broad" sheetId="1" r:id="rId1"/>
    <sheet name="Layoffs"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 l="1"/>
  <c r="K7" i="3"/>
  <c r="K6" i="3"/>
  <c r="K4" i="3"/>
  <c r="J4" i="3"/>
  <c r="K3" i="3"/>
  <c r="J3" i="3"/>
  <c r="L9" i="1"/>
  <c r="L6" i="1"/>
  <c r="L7" i="1"/>
  <c r="L8" i="1"/>
  <c r="L5" i="1"/>
  <c r="L4" i="1"/>
  <c r="E76" i="1"/>
  <c r="D76" i="1"/>
  <c r="C76" i="1"/>
  <c r="B76" i="1"/>
  <c r="B32" i="1"/>
</calcChain>
</file>

<file path=xl/sharedStrings.xml><?xml version="1.0" encoding="utf-8"?>
<sst xmlns="http://schemas.openxmlformats.org/spreadsheetml/2006/main" count="4906" uniqueCount="399">
  <si>
    <t>Naukri Jobs linked to Artificial Intelligence</t>
  </si>
  <si>
    <t>Total</t>
  </si>
  <si>
    <t>ambitionBoxData/AggregateRating</t>
  </si>
  <si>
    <t>ambitionBoxData/ReviewsCount</t>
  </si>
  <si>
    <t>ambitionBoxData/Title</t>
  </si>
  <si>
    <t>ambitionBoxData/Url</t>
  </si>
  <si>
    <t>applyByTime</t>
  </si>
  <si>
    <t>applyRedirectUrl</t>
  </si>
  <si>
    <t>board</t>
  </si>
  <si>
    <t>brandedJD/templateId</t>
  </si>
  <si>
    <t>brandingTags/0/id</t>
  </si>
  <si>
    <t>brandingTags/0/label</t>
  </si>
  <si>
    <t>companyApplyJob</t>
  </si>
  <si>
    <t>companyApplyUrl</t>
  </si>
  <si>
    <t>companyId</t>
  </si>
  <si>
    <t>companyName</t>
  </si>
  <si>
    <t>createdDate</t>
  </si>
  <si>
    <t>currency</t>
  </si>
  <si>
    <t>diversityTagText</t>
  </si>
  <si>
    <t>exclusive</t>
  </si>
  <si>
    <t>experienceText</t>
  </si>
  <si>
    <t>footerPlaceholderColor</t>
  </si>
  <si>
    <t>footerPlaceholderLabel</t>
  </si>
  <si>
    <t>groupId</t>
  </si>
  <si>
    <t>isSaved</t>
  </si>
  <si>
    <t>isTopGroup</t>
  </si>
  <si>
    <t>jdURL</t>
  </si>
  <si>
    <t>jobAgentEligle</t>
  </si>
  <si>
    <t>jobDescription</t>
  </si>
  <si>
    <t>jobId</t>
  </si>
  <si>
    <t>logoPath</t>
  </si>
  <si>
    <t>logoPathV3</t>
  </si>
  <si>
    <t>maximumExperience</t>
  </si>
  <si>
    <t>minimumExperience</t>
  </si>
  <si>
    <t>mode</t>
  </si>
  <si>
    <t>placeholders/0/label</t>
  </si>
  <si>
    <t>placeholders/0/type</t>
  </si>
  <si>
    <t>placeholders/1/label</t>
  </si>
  <si>
    <t>placeholders/1/type</t>
  </si>
  <si>
    <t>placeholders/2/label</t>
  </si>
  <si>
    <t>placeholders/2/type</t>
  </si>
  <si>
    <t>questionnaireIdPresent</t>
  </si>
  <si>
    <t>roleCategoryGid</t>
  </si>
  <si>
    <t>salaryDetail/currency</t>
  </si>
  <si>
    <t>salaryDetail/hideSalary</t>
  </si>
  <si>
    <t>salaryDetail/maxSalaryPerMonth</t>
  </si>
  <si>
    <t>salaryDetail/maximumSalary</t>
  </si>
  <si>
    <t>salaryDetail/minSalaryPerMonth</t>
  </si>
  <si>
    <t>salaryDetail/minimumSalary</t>
  </si>
  <si>
    <t>salaryDetail/variablePercentage</t>
  </si>
  <si>
    <t>saved</t>
  </si>
  <si>
    <t>segmentedQuestions</t>
  </si>
  <si>
    <t>segmentedTemplateId</t>
  </si>
  <si>
    <t>showMultipleApply</t>
  </si>
  <si>
    <t>staticUrl</t>
  </si>
  <si>
    <t>tagsAndSkills</t>
  </si>
  <si>
    <t>title</t>
  </si>
  <si>
    <t>todaysJob</t>
  </si>
  <si>
    <t>vacancy</t>
  </si>
  <si>
    <t>walkinJob</t>
  </si>
  <si>
    <t>Valeo Reviews by Employees</t>
  </si>
  <si>
    <t>https://www.ambitionbox.com/reviews/valeo-reviews?utm_campaign=srp_ratings&amp;utm_medium=desktop&amp;utm_source=naukri</t>
  </si>
  <si>
    <t>https://valeo.wd3.myworkdayjobs.com/en-US/valeo_jobs/job/Chennai/Artificial-Intelligence-Engineer_REQ2025063830</t>
  </si>
  <si>
    <t>https://www.naukri.com/cloudgateway-apply/apply-services/v0/apply/saveCompanyApply?id=&amp;file=071025501415&amp;logstr=srprestapi</t>
  </si>
  <si>
    <t>Valeo</t>
  </si>
  <si>
    <t>INR</t>
  </si>
  <si>
    <t>0-5 Yrs</t>
  </si>
  <si>
    <t>grey</t>
  </si>
  <si>
    <t>30+ Days Ago</t>
  </si>
  <si>
    <t>/job-listings-artificial-intelligence-engineer-valeo-india-pvt-ltd-chennai-0-to-5-years-071025501415</t>
  </si>
  <si>
    <t>&lt;div&gt; &lt;/div&gt; &lt;div&gt; &lt;/div&gt; &lt;ul&gt; &lt;li&gt; Research, develop, benchmark, test and document state of the art algorithms for autonomous driving.  &lt;/li&gt; &lt;li&gt; Research new vision and other sensor technology, ideas, and approaches.  &lt;/li&gt; &lt;li&gt; Support Intellectual Property activities and generate Invention Disclosure Memos to facilitate patent applications.  &lt;/li&gt; &lt;li&gt; Contribute to design reviews across algorithm teams.  &lt;/li&gt; &lt;li&gt; Consider next generation algorithms and new business opportunities.  &lt;/li&gt; &lt;li&gt; Develop algorithms with a view to implementing on embedded platforms.  &lt;/li&gt; &lt;li&gt; Represent Valeo anSWer at various Industry Working Groups and at Conferences.  &lt;/li&gt; &lt;li&gt; Support the design and implementation of in-company training sessions in your area of expertise.  &lt;/li&gt; &lt;li&gt; Strive to improve competencies in the field of automotive sensors based ADAS, DL frameworks &amp; techniques.  &lt;/li&gt; &lt;li&gt; Identify inefficiencies and suggest/implement improvements within the current processes used in algorithm development  &lt;/li&gt; &lt;/ul&gt;</t>
  </si>
  <si>
    <t>071025501415</t>
  </si>
  <si>
    <t>https://img.naukimg.com/logo_images/groups/v1/297712.gif</t>
  </si>
  <si>
    <t>crawled</t>
  </si>
  <si>
    <t>experience</t>
  </si>
  <si>
    <t>Not disclosed</t>
  </si>
  <si>
    <t>salary</t>
  </si>
  <si>
    <t>Chennai</t>
  </si>
  <si>
    <t>location</t>
  </si>
  <si>
    <t>Template1</t>
  </si>
  <si>
    <t>valeo-jobs-careers-164977</t>
  </si>
  <si>
    <t>Training,Artificial Intelligence,Intellectual property,Algorithm development,Sensors,Research,Sustainable development,Automotive</t>
  </si>
  <si>
    <t>Artificial Intelligence Engineer</t>
  </si>
  <si>
    <t>HCLTech Reviews by Employees</t>
  </si>
  <si>
    <t>https://www.ambitionbox.com/reviews/hcl-technologies-reviews?utm_campaign=srp_ratings&amp;utm_medium=desktop&amp;utm_source=naukri</t>
  </si>
  <si>
    <t>HCLTech</t>
  </si>
  <si>
    <t>4-7 Yrs</t>
  </si>
  <si>
    <t>3 Days Ago</t>
  </si>
  <si>
    <t>/job-listings-artificial-intelligence-engineer-hcltech-bengaluru-4-to-7-years-270826010477</t>
  </si>
  <si>
    <t>Required Qualifications&lt;br&gt;&lt;br&gt; must be able to read and write code and hold a credible technical. conversation with senior engineers.  . &lt;br&gt;&lt;br&gt;Preferred Qualifications&lt;br&gt;&lt;br&gt;experience&lt;br&gt;&lt;br&gt;Direct experience using enterprise AI platforms in a professional software development &lt;br&gt;&lt;br&gt; Data: SQL or an equivalent query capability,plus experience with a reporting or BI tool</t>
  </si>
  <si>
    <t>https://img.naukimg.com/logo_images/groups/v1/194354.gif</t>
  </si>
  <si>
    <t>jp</t>
  </si>
  <si>
    <t>Hybrid - Bengaluru(Jigani)</t>
  </si>
  <si>
    <t>hcltech-jobs-careers-460</t>
  </si>
  <si>
    <t>AI,CLI,Github,Powershell,Artificial Intelligence,Bash,Tableau,Cursor</t>
  </si>
  <si>
    <t>PwC Reviews by Employees</t>
  </si>
  <si>
    <t>https://www.ambitionbox.com/reviews/pwc-reviews?utm_campaign=srp_ratings&amp;utm_medium=desktop&amp;utm_source=naukri</t>
  </si>
  <si>
    <t>PwC</t>
  </si>
  <si>
    <t>4-8 Yrs</t>
  </si>
  <si>
    <t>4 Days Ago</t>
  </si>
  <si>
    <t>/job-listings-artificial-intelligence-engineer-pwc-hyderabad-gurugram-bengaluru-4-to-8-years-260826016031</t>
  </si>
  <si>
    <t xml:space="preserve"> - Bachelors &amp; Master Degree . - 4 years of experience. - Oral and written proficiency in English required&lt;br&gt;&lt;br&gt; What You Must Have</t>
  </si>
  <si>
    <t>https://img.naukimg.com/logo_images/groups/v1/9246.gif</t>
  </si>
  <si>
    <t>Hybrid - Bengaluru, Hyderabad, Gurugram</t>
  </si>
  <si>
    <t>pwc-jobs-careers-676499</t>
  </si>
  <si>
    <t>Artificial Intelligence,Aiml,Machine Learning,Python,Tensorflow,Natural Language Processing,Computer Vision,Deep Learning</t>
  </si>
  <si>
    <t>Ernst &amp; Young Reviews by Employees</t>
  </si>
  <si>
    <t>https://www.ambitionbox.com/reviews/ernst-young-reviews?utm_campaign=srp_ratings&amp;utm_medium=desktop&amp;utm_source=naukri</t>
  </si>
  <si>
    <t>EY</t>
  </si>
  <si>
    <t>/job-listings-artificial-intelligence-engineer-ey-chennai-4-to-8-years-250826030101</t>
  </si>
  <si>
    <t>Degree: Bachelors degree in Computer Science,Engineering,Information Technology,or a related field,or equivalent practical experience&lt;br&gt;&lt;br&gt;Required Skills &lt;br&gt;&lt;br&gt;Good To Have</t>
  </si>
  <si>
    <t>https://img.naukimg.com/logo_images/groups/v1/243080.gif</t>
  </si>
  <si>
    <t>Hybrid - Chennai</t>
  </si>
  <si>
    <t>ey-jobs-careers-9156</t>
  </si>
  <si>
    <t>Azure,AI Engineer,Observability,AWS,Intelligence,Microsoft Azure,Artificial Intelligence</t>
  </si>
  <si>
    <t>National Institute for Smart Government Reviews by Employees</t>
  </si>
  <si>
    <t>https://www.ambitionbox.com/reviews/national-institute-for-smart-government-reviews?utm_campaign=srp_ratings&amp;utm_medium=desktop&amp;utm_source=naukri</t>
  </si>
  <si>
    <t>National Institute for Smart Government (NISG)</t>
  </si>
  <si>
    <t>8-10 Yrs</t>
  </si>
  <si>
    <t>2 Days Ago</t>
  </si>
  <si>
    <t>/job-listings-artificial-intelligence-engineer-national-institute-for-smart-government-nisg-lucknow-chennai-8-to-10-years-280726020043</t>
  </si>
  <si>
    <t>&lt;p&gt;&lt;strong&gt;Name of the Post&lt;/strong&gt; : Artificial Intelligence (AI) Engineer&lt;/p&gt;&lt;br /&gt;&lt;p&gt;&lt;strong&gt;Type of the Post :&lt;/strong&gt;Contractual on Full Time basis. &lt;/p&gt;&lt;br /&gt;&lt;p&gt;&lt;strong&gt;Number of Posts: &lt;/strong&gt;4 (Four) &lt;/p&gt;&lt;br /&gt;&lt;p&gt;&lt;strong&gt;Place of Posting: &lt;/strong&gt;Chennai / Lucknow&lt;/p&gt;&lt;br /&gt;&lt;p&gt;&lt;strong&gt;Period of Contract :&lt;/strong&gt;The Term of Contract would initially be for a period of Three (03) years, extendable, at sole discretion, for a further period of up to Two (02) years. The Contract can be terminated at Two (02) months of notice on either side or salary and allowances (if any) in lieu thereof.&lt;/p&gt;&lt;br /&gt;&lt;p&gt;&lt;strong&gt;Eligibility Criteria/Age Limit:&lt;/strong&gt;&lt;/p&gt;&lt;p&gt;The Candidate should not be more than 40 years old as of the last date of submission of application.&lt;/p&gt;&lt;br /&gt;&lt;p&gt;&lt;strong&gt;Educational Qualification:&lt;/strong&gt;&lt;/p&gt;&lt;br /&gt;&lt;p&gt;Graduation in Engineering / B.E. / B. Tech / M.S. / M. Tech / M. Sc. (Computer Science / Computer Science and Engineering / Information Technology / Electronics / Electronics and Communication Engineering / Data Science/AI/ML) or Equivalent Degree in above specified disciplines OR Masters Degree in Statistics, Mathematics, Economics, Computer Science, Data Science OR MCA from University / Institution / Board recognized by Government of India. &lt;br /&gt; &lt;br /&gt;&lt;strong&gt;Preferred Certifications: Certifications in Data Science / Machine Learning / AI etc.&lt;/strong&gt;&lt;/p&gt;&lt;br /&gt;&lt;p&gt;&lt;strong&gt;Experience:&lt;/strong&gt;&lt;/p&gt;&lt;br /&gt;&lt;p&gt;Minimum Eight (08) years of relevant experience with minimum Four (04) years of experience in the role of AI Engineers, Data Science, Building Statistical Models&lt;br /&gt; Experience in Banking and Finance Domain will be an added advantage.&lt;/p&gt;&lt;br /&gt;&lt;p&gt;&lt;strong&gt;Job Profile: &lt;/strong&gt;&lt;/p&gt;&lt;br /&gt;&lt;p&gt;Understand Business Requirements and identify opportunities for Artificial Intelligence (AI), Machine Learning (ML), Data Science.&lt;br /&gt; Analyse various data sources and look at best available ways in automating collection processes for usage of them in arriving at solutions.&lt;br /&gt; Explore relevant data sources available in the market.&lt;br /&gt; Undertake pre-processing of structured and unstructured data. Analyse large datasets to discover trends and patterns.&lt;br /&gt; Build and Enhance Custom Data Models keeping in mind accuracy and performance of output.&lt;br /&gt; Use predictive modelling to increase / improve user experience.&lt;br /&gt; Develop processes and tools to monitor model performance and data accuracy.&lt;br /&gt; Present information using data visualization techniques.&lt;br /&gt; Work with stakeholders throughout the organization to identify opportunities for leveraging company data to drive business solutions.&lt;br /&gt; Use predictive modelling to increase and optimize customer experiences, revenue generation, ad targeting and other business outcomes.&lt;br /&gt; Develop custom data models and algorithms to apply to data sets.&lt;br /&gt; Assess the effectiveness and accuracy of new data sources and data gathering techniques.&lt;br /&gt; Development / Coding in NLP, R, Python etc. and other evolving technologies in data management.&lt;br /&gt; Develop processes and tools to monitor model performance and data accuracy. &lt;br /&gt; Present information using data visualization techniques. &lt;/p&gt;&lt;br /&gt;&lt;p&gt;&lt;strong&gt;Key Skills:&lt;/strong&gt;&lt;/p&gt;&lt;br /&gt;&lt;p&gt;Minimum Fifteen (08) years of relevant experience with minimum Four (04) years of experience in the role of AI Engineers, Data Science, Building Statistical Models&lt;br /&gt; Development and Coding Proficiency in Python / R&lt;br /&gt; Proficiency in Statistical Skills including knowledge of statistical tests, data distributions, Proficiency of ML Algorithms like Linear Regression, Logistic Regression, Decision Tree etc.&lt;br /&gt; Good experience on working in Big Data Sets with tools like Apache Spark, SAS.&lt;br /&gt; Good experience in Data Mining techniques and tools like Apache Mahout, H2O, Oracle Data Mining.&lt;br /&gt; Good implementation knowledge of Data Modelling and Optimization techniques.&lt;br /&gt; Good experience in Data frameworks like Hadoop, Database query languages like SQL, Hive and Data wrangling tools like Talend.&lt;br /&gt; Exposure to BI Tools like Power BI, Tableau.&lt;br /&gt; Designing functional technology solutions with core focus on process digitization and automation.&lt;br /&gt; Build, validate and maintain statistical, ML and AI/GenAI models (e.g. credit scoring, PD/LGD, early warning, fraud detection, segmentation, pricing, impact/ESG scoring, text analytics) using structured and unstructured data. &lt;br /&gt; Work with Data Engineers and IT teams to productionise models through APIs, batch pipelines or decision engines, ensuring performance, scalability and monitoring. &lt;br /&gt; Ensure model explainability, fairness, and compliance with RBI and internal governance norms. &lt;br /&gt; Monitor model performance and refine algorithms for accuracy and stability. &lt;br /&gt; Explore and evaluate new AI tools, techniques, and technologies.&lt;br /&gt; Prepare documentation and support knowledge sharing across verticals. &lt;br /&gt; Convert prototype notebooks and POCs into robust, modular services or APIs integrated with core banking, LOS/LMS, collections systems, digital channels and partner/fintech platforms.&lt;/p&gt;&lt;br /&gt;&lt;p&gt;&lt;strong&gt;Secondary Skills:&lt;/strong&gt;&lt;/p&gt;&lt;br /&gt;&lt;p&gt; Good programming Skills and analytical abilities.&lt;br /&gt; Functional knowledge in ML techniques and tools like TensorFlow, Apache Mx Net etc. &lt;br /&gt; Certifications associated to AI/ML will be an added advantage. &lt;br /&gt; Financial Domain knowledge is another advantage. &lt;br /&gt; Establish model monitoring for drift, latency, throughput, failures and key business. metrics; work with data scientists and business owners to trigger retraining or model refresh. &lt;br /&gt; Collaborate with Information Security and IT to ensure ML services meet security, compliance, logging and audit requirements. &lt;br /&gt; Using statistical / ML libraries and tools such as Python (pandas, scikitlearn etc.), R, or similar environments, experience with notebooks and version control. &lt;br /&gt; Working with large financialservices datasets, data cleaning, feature engineering, and collaborating with data engineering / IT teams to operationalise solutions. &lt;br /&gt; AI/ML Solutions with knowledge in Deep Learning Techniques. &lt;br /&gt; Experience in Application Architecture and Design.&lt;br /&gt; Experience in AI/ML Solutions with knowledge in Deep Learning Techniques.&lt;br /&gt; Experience with cloud AI platforms (AWS SageMaker, Azure ML, GCP Vertex AI) and integrating AI models into production systems (e.g., via APIs, microservices). &lt;br /&gt; Building and deploying ML models into production (APIs, batch jobs, streaming) using Python/Java/Scala and standard frameworks. &lt;br /&gt; Working with cloud platforms, containers (Docker), orchestration (Kubernetes) and CI/CD pipelines. &lt;br /&gt; Optimising model inference performance, managing environments, dependencies and monitoring in Production.&lt;/p&gt;&lt;br /&gt;&lt;br /&gt;&lt;p&gt;&lt;strong&gt;Competency:&lt;/strong&gt;&lt;/p&gt;&lt;br /&gt;&lt;p&gt;Mining, Processing, Cleansing and Validating integrity of data to be used for analysis.&lt;br /&gt; Usage of Statistics and ML Algorithms to arrive at custom data models to provide accurate outputs.&lt;br /&gt; Analyse large amounts of information to find patterns and solutions. &lt;br /&gt; Usage of Statistics and ML Algorithms to arrive at custom data models to provide accurate outputs. &lt;br /&gt; Resolve complex technical issues in implementation of ML Solutions. &lt;br /&gt; Excellent Verbal and Written - Communication and Presentation Skills.&lt;br /&gt; Statistical, ML and GenAI modelling (Proficient): Strong grounding in statistics, probability, hypothesis testing, regression, classification, clustering, timeseries, basic optimisation and applied GenAI/NLP techniques (LLMs, embeddings, prompt design), with a proven modelbuilding and deployment track record &lt;br /&gt; GenAI / advanced analytics (Basic to Intermediate): Exposure to NLP, embeddings, LLMbased applications, or recommendation systems relevant to MSME banking and development programmes &lt;br /&gt; Data Engineering (Proficient): ETL pipelines, feature engineering, handling structured/unstructured data (e.g., Pandas, Spark, SQL). &lt;br /&gt; Domain Knowledge (Intermediate): Financial services use cases (credit scoring, fraud, customer insights); familiarity with RBI guidelines on AI/ML.  &lt;br /&gt; &lt;br /&gt; &lt;br /&gt; &lt;/p&gt;</t>
  </si>
  <si>
    <t>https://img.naukimg.com/logo_images/groups/v1/425042.gif</t>
  </si>
  <si>
    <t>Chennai, Lucknow</t>
  </si>
  <si>
    <t>national-institute-for-smart-government-nisg-jobs-careers-755146</t>
  </si>
  <si>
    <t>ML Algorithms,generative ai,Artificial Intelligence,Natural Language Processing,Application Architectures,R,Aiml,Data Mining</t>
  </si>
  <si>
    <t>IBM Reviews by Employees</t>
  </si>
  <si>
    <t>https://www.ambitionbox.com/reviews/ibm-reviews?utm_campaign=srp_ratings&amp;utm_medium=desktop&amp;utm_source=naukri</t>
  </si>
  <si>
    <t>https://careers.ibm.com/en_US/careers/JobDetail?jobId=130287&amp;source=JB_Naukri.com+%28India%29</t>
  </si>
  <si>
    <t>https://www.naukri.com/cloudgateway-apply/apply-services/v0/apply/saveCompanyApply?id=&amp;file=270826917532&amp;logstr=srprestapi</t>
  </si>
  <si>
    <t>IBM</t>
  </si>
  <si>
    <t>6-8 Yrs</t>
  </si>
  <si>
    <t>/job-listings-data-scientist-artificial-intelligence-ibm-india-pvt-limited-bengaluru-6-to-8-years-270826917532</t>
  </si>
  <si>
    <t>&lt;b&gt;Your Role and Responsibilities:&lt;/b&gt;  &lt;div&gt; &lt;div&gt;As a Data Scientist with expertise in Artificial Intelligence, you will skillfully combine data analysis and business acumen to tackle cognitive computing challenges. You will be responsible for architecting and delivering AI solutions using cutting-edge technologies, with a strong focus on foundation models and large language models.&lt;/div&gt; &lt;div&gt; &lt;br /&gt;&lt;b&gt;Your primary responsibilities will include:&lt;/b&gt; &lt;/div&gt; &lt;div&gt; &lt;strong&gt;Design AI Solutions:&lt;/strong&gt; Architect and deliver AI solutions using cutting-edge technologies, with a strong focus on foundation models and large language models, and experience in tools like Github Copilot and Amazon Code Whisperer.&lt;/div&gt; &lt;div&gt; &lt;strong&gt;Develop Cognitive Solutions:&lt;/strong&gt; Create comprehensive cognitive solutions that effectively process and analyze both structured and unstructured data, utilizing expertise in NLP, ML, and other specialized areas such as Image Processing, Video Processing, Voice Processing, or Watson technologies.&lt;/div&gt; &lt;div&gt; &lt;strong&gt;Implement AI Frameworks:&lt;/strong&gt; Apply strong programming skills, with proficiency in Python and experience with AI frameworks such as TensorFlow, PyTorch, Keras, or Hugging Face, to develop and deploy AI models.&lt;/div&gt; &lt;div&gt; &lt;strong&gt;Manage AI Project Lifecycle:&lt;/strong&gt; Oversee the full AI project lifecycle, from research and prototyping to deployment in production environments, ensuring successful project delivery.&lt;/div&gt; &lt;div&gt; &lt;strong&gt;Collaborate with Stakeholders:&lt;/strong&gt; Work with various stakeholders to identify business problems and leverage the power of artificial intelligence for cognitive computing, driving business value through AI-driven solutions.&lt;/div&gt; &lt;/div&gt;  &lt;div&gt; &lt;div&gt; &lt;b&gt;Required Education:&lt;/b&gt; &lt;/div&gt; &lt;div&gt;                                                                                            Bachelor's Degree                                                                                    &lt;/div&gt; &lt;/div&gt; &lt;div&gt; &lt;div&gt; &lt;b&gt;Preferred education&lt;/b&gt; &lt;/div&gt; &lt;div&gt;                                                                                            Master's Degree                                                                                    &lt;/div&gt; &lt;/div&gt; &lt;div&gt; &lt;div&gt; &lt;b&gt;Required Technical and Professional Expertise:&lt;/b&gt; &lt;/div&gt; &lt;div&gt; &lt;div&gt; &lt;strong&gt;Advanced Analytics Techniques:&lt;/strong&gt; Exposure to advanced analytics techniques for structured data, including data analysis and interpretation, to inform business decisions and tackle cognitive computing challenges.&lt;/div&gt; &lt;div&gt; &lt;strong&gt;AI Frameworks and Tools:&lt;/strong&gt; Experience working with AI frameworks such as TensorFlow, PyTorch, Keras, or Hugging Face, and tools like Github Copilot and Amazon Code Whisperer to develop and deploy AI models.&lt;/div&gt; &lt;div&gt; &lt;strong&gt;Programming Skills:&lt;/strong&gt; Proficiency in Python programming language, with experience in applying programming skills to develop and deploy AI solutions.&lt;/div&gt; &lt;div&gt; &lt;strong&gt;NLP and ML Methods:&lt;/strong&gt; Exposure to Natural Language Processing (NLP) and Machine Learning (ML) methods for unstructured content, including foundation models and large language models.&lt;/div&gt; &lt;div&gt; &lt;strong&gt;Cloud Platforms and Databases:&lt;/strong&gt; Experience working with cloud platforms (e.g. Kubernetes, AWS, Azure, GCP) and related services, as well as relational and NoSQL databases (SQL, Postgres, DB2, MongoDB).&lt;/div&gt; &lt;/div&gt; &lt;/div&gt; &lt;div&gt; &lt;div&gt; &lt;b&gt;Preferred Technical and Professional Experience:&lt;/b&gt; &lt;/div&gt; &lt;div&gt; &lt;div&gt; &lt;strong&gt;Familiarity with Modern UI:&lt;/strong&gt; Familiarity with modern UI frameworks such as Backbone.js, AngularJS, React.js, Ember.js, Bootstrap, and JQuery, with the ability to apply this knowledge in developing AI solutions.&lt;/div&gt; &lt;div&gt; &lt;strong&gt;Understanding of Libraries:&lt;/strong&gt; Understanding in the usage of libraries such as SciKit Learn, Pandas, Matplotlib, etc., with the ability to apply this knowledge in developing AI solutions.&lt;/div&gt; &lt;div&gt; &lt;strong&gt;Operating Systems Knowledge:&lt;/strong&gt; Experience working with various operating systems (Linux, Windows, iOS, Android), with the ability to apply this knowledge in developing and deploying AI solutions.&lt;/div&gt; &lt;/div&gt; &lt;/div&gt; &lt;div&gt; &lt;div&gt; &lt;strong&gt; &lt;b&gt;Years of Experience:&lt;/b&gt; &lt;/strong&gt; &lt;br /&gt;6 - 8                                                                                    &lt;/div&gt; &lt;/div&gt;</t>
  </si>
  <si>
    <t>https://img.naukimg.com/logo_images/groups/v1/19288.gif</t>
  </si>
  <si>
    <t>Bengaluru</t>
  </si>
  <si>
    <t>ibm-jobs-careers-16987</t>
  </si>
  <si>
    <t>data,security management,python,data analytics,data analysis,natural language processing,power bi,machine learning</t>
  </si>
  <si>
    <t>Data Scientist-Artificial Intelligence</t>
  </si>
  <si>
    <t>https://careers.ibm.com/en_US/careers/JobDetail?jobId=99761&amp;source=JB_Naukri.com+%28India%29</t>
  </si>
  <si>
    <t>https://www.naukri.com/cloudgateway-apply/apply-services/v0/apply/saveCompanyApply?id=&amp;file=260826909019&amp;logstr=srprestapi</t>
  </si>
  <si>
    <t>/job-listings-data-scientist-artificial-intelligence-ibm-india-pvt-limited-bengaluru-8-to-10-years-260826909019</t>
  </si>
  <si>
    <t>&lt;b&gt;Your Role and Responsibilities:&lt;/b&gt;  &lt;div&gt; &lt;div&gt;As a Data Scientist with expertise in Artificial Intelligence, you will skillfully combine data analysis and business acumen to tackle cognitive computing challenges. You will be responsible for architecting and delivering AI solutions using cutting-edge technologies, with a strong focus on foundation models and large language models. &lt;br /&gt;&lt;b&gt;Your primary responsibilities will include:&lt;/b&gt;  Design AI Solutions: Architect and deliver AI solutions using cutting-edge technologies, with a strong focus on foundation models and large language models, and experience in tools like Github Copilot and Amazon Code Whisperer.  Develop Cognitive Solutions: Create comprehensive cognitive solutions that effectively process and analyze both structured and unstructured data, utilizing expertise in NLP, ML, and other specialized areas such as Image Processing, Video Processing, Voice Processing, or Watson technologies.  Implement AI Frameworks: Apply strong programming skills, with proficiency in Python and experience with AI frameworks such as TensorFlow, PyTorch, Keras, or Hugging Face, to develop and deploy AI models.  Manage AI Project Lifecycle: Oversee the full AI project lifecycle, from research and prototyping to deployment in production environments, ensuring successful project delivery.  Collaborate with Stakeholders: Work with various stakeholders to identify business problems and leverage the power of artificial intelligence for cognitive computing, driving business value through AI-driven solutions.&lt;/div&gt; &lt;/div&gt;  &lt;div&gt; &lt;div&gt; &lt;b&gt;Required Education:&lt;/b&gt; &lt;/div&gt; &lt;div&gt;                                                                                            Bachelor's Degree                                                                                    &lt;/div&gt; &lt;/div&gt; &lt;div&gt; &lt;div&gt; &lt;b&gt;Preferred education&lt;/b&gt; &lt;/div&gt; &lt;div&gt;                                                                                            Master's Degree                                                                                    &lt;/div&gt; &lt;/div&gt; &lt;div&gt; &lt;div&gt; &lt;b&gt;Required Technical and Professional Expertise:&lt;/b&gt; &lt;/div&gt; &lt;div&gt; &lt;div&gt; Advanced Analytics Techniques: Exposure to advanced analytics techniques for structured data, including data analysis and interpretation, to inform business decisions and tackle cognitive computing challenges.  AI Frameworks and Tools: Experience working with AI frameworks such as TensorFlow, PyTorch, Keras, or Hugging Face, and tools like Github Copilot and Amazon Code Whisperer to develop and deploy AI models.  Programming Skills: Proficiency in Python programming language, with experience in applying programming skills to develop and deploy AI solutions.  NLP and ML Methods: Exposure to Natural Language Processing (NLP) and Machine Learning (ML) methods for unstructured content, including foundation models and large language models.  Cloud Platforms and Databases: Experience working with cloud platforms (e.g. Kubernetes, AWS, Azure, GCP) and related services, as well as relational and NoSQL databases (SQL, Postgres, DB2, MongoDB).&lt;/div&gt; &lt;/div&gt; &lt;/div&gt; &lt;div&gt; &lt;div&gt; &lt;b&gt;Preferred Technical and Professional Experience:&lt;/b&gt; &lt;/div&gt; &lt;div&gt; &lt;div&gt; Familiarity with Modern UI: Familiarity with modern UI frameworks such as Backbone.js, AngularJS, React.js, Ember.js, Bootstrap, and JQuery, with the ability to apply this knowledge in developing AI solutions.  Understanding of Libraries: Understanding in the usage of libraries such as SciKit Learn, Pandas, Matplotlib, etc., with the ability to apply this knowledge in developing AI solutions.  Operating Systems Knowledge: Experience working with various operating systems (Linux, Windows, iOS, Android), with the ability to apply this knowledge in developing and deploying AI solutions.&lt;/div&gt; &lt;/div&gt; &lt;/div&gt; &lt;div&gt; &lt;div&gt; &lt;strong&gt; &lt;b&gt;Years of Experience:&lt;/b&gt; &lt;/strong&gt; &lt;br /&gt;8-10                                                                                    &lt;/div&gt; &lt;/div&gt;</t>
  </si>
  <si>
    <t>Data,Vigilance,Power Bi,Natural Language Processing,Tableau,Security Management,Security,Machine Learning</t>
  </si>
  <si>
    <t>TCS Reviews by Employees</t>
  </si>
  <si>
    <t>https://www.ambitionbox.com/reviews/tcs-reviews?utm_campaign=srp_ratings&amp;utm_medium=desktop&amp;utm_source=naukri</t>
  </si>
  <si>
    <t>Tata Consultancy Services</t>
  </si>
  <si>
    <t>6-10 Yrs</t>
  </si>
  <si>
    <t>/job-listings-artificial-intelligence-engineer-tata-consultancy-services-hyderabad-chennai-bengaluru-6-to-10-years-280826008430</t>
  </si>
  <si>
    <t>&lt;p&gt;&lt;strong&gt; TCS Hiring | AI Engineer&lt;/strong&gt;&lt;/p&gt;&lt;p&gt;&lt;br /&gt;  &lt;strong&gt;Experience:&lt;/strong&gt; 6-10 Years&lt;br /&gt;  &lt;strong&gt;Date of Interview:&lt;/strong&gt; 04-Sep-2026 (Friday)&lt;br /&gt;  &lt;strong&gt;Mode of Interview:&lt;/strong&gt; Virtual&lt;/p&gt;&lt;p&gt; &lt;strong&gt;Location:&lt;/strong&gt; Chennai | Bengaluru | Hyderabad | Pune | Kochi | Kolkata | NCR | Delhi&lt;/p&gt;&lt;br /&gt;&lt;br /&gt;&lt;p&gt;&lt;u&gt;Required Skills&lt;/u&gt;&lt;/p&gt;&lt;p&gt; Strong experience in ML Engineering, MLOps, DevOps, or Data Engineering&lt;br /&gt;  Hands-on expertise in Python, MLflow, Scikit-learn, and PyTorch&lt;br /&gt;  Experience building and managing ML pipelines and workflows&lt;br /&gt;  Proficiency in Azure and AWS cloud platforms&lt;br /&gt;  Strong knowledge of Docker, Kubernetes, CI/CD, and Terraform&lt;br /&gt;  Experience with Airflow, Azure ML, FastAPI, and model deployment frameworks&lt;br /&gt;  Good understanding of monitoring, observability, and model performance tracking&lt;/p&gt;&lt;br /&gt;&lt;br /&gt;&lt;p&gt;Technical Skills&lt;/p&gt;&lt;p&gt;&lt;strong&gt;Python, SQL, Bash, Azure, AWS, MLflow, Azure ML, Airflow, FastAPI, Docker, Kubernetes, AWS Fargate, Terraform, GitHub Actions, Azure DevOps, Snowflake, Delta Lake, Redis, Azure Data Lake, Grafana, Azure Monitor&lt;/strong&gt;&lt;/p&gt;&lt;br /&gt;&lt;p&gt;&lt;u&gt;Preferred Skills&lt;/u&gt;&lt;/p&gt;&lt;p&gt; Experience with Snowflake and Azure Data Lake&lt;br /&gt;  Knowledge of model monitoring, drift detection, and observability practices&lt;br /&gt;  Experience deploying ML models as APIs using FastAPI or Azure Functions&lt;br /&gt;  Familiarity with Azure Data Factory and workflow orchestration tools&lt;/p&gt;</t>
  </si>
  <si>
    <t>https://img.naukimg.com/logo_images/groups/v1/223346.gif</t>
  </si>
  <si>
    <t>Bengaluru, Hyderabad, Chennai</t>
  </si>
  <si>
    <t>tata-consultancy-services-jobs-careers-13542</t>
  </si>
  <si>
    <t>Pytorch,Artificial Intelligence,Aiml,Machine Learning,Python,Machine,Intelligence</t>
  </si>
  <si>
    <t>TransOrg Analytics Reviews by Employees</t>
  </si>
  <si>
    <t>https://www.ambitionbox.com/reviews/transorg-analytics-reviews?utm_campaign=srp_ratings&amp;utm_medium=desktop&amp;utm_source=naukri</t>
  </si>
  <si>
    <t>TransOrg</t>
  </si>
  <si>
    <t>7-12 Yrs</t>
  </si>
  <si>
    <t>/job-listings-manager-director-data-science-artificial-intelligence-transorg-analytics-gurugram-7-to-12-years-290726018447</t>
  </si>
  <si>
    <t>&lt;p&gt; &lt;/p&gt;&lt;p&gt;&lt;strong&gt;Job Description Manager / Director - Data Science &amp; Artificial Intelligence&lt;/strong&gt;&lt;/p&gt;&lt;br /&gt;&lt;p&gt;&lt;strong&gt;Why would you like to join us? &lt;/strong&gt;&lt;/p&gt;&lt;br /&gt;&lt;p&gt;TransOrg Analytics specializes in Data Science, Data Engineering and Agentic AI, providing advanced analytics solutions to industry leaders and Fortune 500 companies across India, US, APAC and the Middle East. We leverage data science to streamline, optimize, and accelerate our clients' businesses. Visit www.transorg.ai to know more about us. &lt;/p&gt;&lt;br /&gt;&lt;ul&gt;&lt;li&gt;&lt;strong&gt;Location: &lt;/strong&gt;Gurugram &lt;/li&gt;&lt;li&gt;&lt;strong&gt;Experience: &lt;/strong&gt;7- 12 Years &lt;/li&gt;&lt;li&gt;&lt;strong&gt;Employment Type: &lt;/strong&gt;Full-Time (onsite)&lt;/li&gt;&lt;/ul&gt;&lt;br /&gt;&lt;p&gt;&lt;strong&gt;Position Summary : &lt;/strong&gt;Lead high-impact AI and Data Science consulting engagements, deliver innovative analytics solutions, build high-performing teams, and partner with clients to drive measurable business outcomes.&lt;/p&gt;&lt;br /&gt;&lt;p&gt;&lt;strong&gt;Key Responsibilities:&lt;/strong&gt;&lt;/p&gt;&lt;ul&gt;&lt;li&gt; Lead end-to-end AI and Data Science engagements from discovery to deployment.&lt;/li&gt;&lt;li&gt;Design and deploy Machine Learning, Deep Learning, and Agentic AI solutions.&lt;/li&gt;&lt;li&gt;Translate business challenges into AI-driven solutions and actionable insights.&lt;/li&gt;&lt;li&gt; Build and deploy customized AI/ML solutions to address complex business challenges, improve operational efficiency, and drive measurable business outcomes.&lt;/li&gt;&lt;li&gt;Develop and execute the AI &amp; Analytics roadmap aligned with business strategy, identifying opportunities for innovation, automation, and data-driven decision-making.&lt;/li&gt;&lt;li&gt;Build predictive models using structured and unstructured data.&lt;/li&gt;&lt;li&gt;Manage multiple engagements ensuring quality, timelines and client satisfaction.&lt;/li&gt;&lt;li&gt;Build, mentor, lead, and retain high-performing teams of Data Scientists, Data Engineers, AI Engineers, Data Analysts, and Solution Architects, fostering a culture of innovation, collaboration, continuous learning, and excellence.&lt;/li&gt;&lt;li&gt;Drive hiring and capability development.&lt;/li&gt;&lt;li&gt;Build reusable AI accelerators and Proofs of Concept(PoCs) &lt;/li&gt;&lt;li&gt;Partner with sales leadership to identify, qualify, and close strategic opportunities.&lt;/li&gt;&lt;/ul&gt;&lt;br /&gt;&lt;p&gt;&lt;strong&gt;What were looking for:&lt;/strong&gt;&lt;/p&gt;&lt;br /&gt;&lt;ul&gt;&lt;li&gt;Strong business/financial acumen.&lt;/li&gt;&lt;li&gt;Ability to interact with cross-functional teams.&lt;/li&gt;&lt;li&gt;Enthusiasm for contributing to wider activities to support team and company growth.&lt;/li&gt;&lt;li&gt;Expertise in managing full project management life cycle.&lt;/li&gt;&lt;li&gt;Strong written, verbal, and interpersonal skills needed to effectively communicate technical insights and recommendations with Clients and leadership team&lt;/li&gt;&lt;li&gt;Ability to think both strategically and tactically and to drive execution. Should be equally comfortable with long term planning and day to day progress tracking and execution&lt;/li&gt;&lt;li&gt;Analyze and interpret data and communicate insights to clients using mathematical, statistical, and analytical techniques.&lt;/li&gt;&lt;li&gt;Work closely with internal teams and clients to understand requirements and translate them into data-driven solutions.&lt;/li&gt;&lt;li&gt;Contribute to analytics solution design and support delivery across multiple client engagements.&lt;/li&gt;&lt;li&gt;Passionate about applying AI/ML to solve diverse real-world problems.&lt;/li&gt;&lt;li&gt;Proven experience in leading teams and managing internal and external stakeholders.&lt;/li&gt;&lt;/ul&gt;&lt;br /&gt;&lt;p&gt;&lt;strong&gt;Qualifications &amp; Experience:&lt;/strong&gt;&lt;/p&gt;&lt;br /&gt;&lt;ul&gt;&lt;li&gt;Bachelors degree in computer science, Information Technology, Data Science, Artificial Intelligence, Engineering, Mathematics, Statistics, or related discipline.&lt;/li&gt;&lt;li&gt;Master's degree (MBA, M. Tech, MS, MCA, or equivalent) in Computer Science, Artificial Intelligence, Data Science, Analytics, Engineering, Business Administration, or a related field is strongly preferred.&lt;/li&gt;&lt;li&gt;7- 12 years of experience in Data Science, Artificial Intelligence, or Advanced Analytics, preferably in the BFSI (Banking, Financial Services &amp; Insurance) and/or CPG (Consumer Packaged Goods) domains.&lt;/li&gt;&lt;li&gt;Strong background in machine learning, statistics, probability, and algorithms&lt;/li&gt;&lt;li&gt;Experience with Python, SQL, and machine learning techniques.&lt;/li&gt;&lt;li&gt;Familiarity with cloud platforms (Google Cloud preferred, AWS, Azure)&lt;/li&gt;&lt;li&gt;Experience with data visualization tools (Power BI or similar)&lt;/li&gt;&lt;li&gt;Proven leadership experience managing data science or AI teams&lt;br /&gt; &lt;br /&gt; &lt;/li&gt;&lt;/ul&gt;&lt;p&gt;This position offers you the opportunity to showcase your technical depth, consulting expertise, client-facing leadership, and business acumen while building high-performing teams, winning strategic opportunities, and delivering measurable business outcomes through data-driven innovation.&lt;/p&gt;</t>
  </si>
  <si>
    <t>https://img.naukimg.com/logo_images/groups/v1/1351372.gif</t>
  </si>
  <si>
    <t>Gurugram</t>
  </si>
  <si>
    <t>transorg-jobs-careers-2553404</t>
  </si>
  <si>
    <t>Machine Learning,SQL,Agentic Ai,Python,Predictive Modeling,Logistic Regression,generative ai,Artificial Intelligence</t>
  </si>
  <si>
    <t>Manager/Director - Data Science &amp; Artificial Intelligence</t>
  </si>
  <si>
    <t>FIS Reviews by Employees</t>
  </si>
  <si>
    <t>https://www.ambitionbox.com/reviews/fis-reviews?utm_campaign=srp_ratings&amp;utm_medium=desktop&amp;utm_source=naukri</t>
  </si>
  <si>
    <t>FIS</t>
  </si>
  <si>
    <t>8-13 Yrs</t>
  </si>
  <si>
    <t>8 Days Ago</t>
  </si>
  <si>
    <t>/job-listings-engineer-lead-artificial-intelligence-machine-learning-fis-global-business-solutions-india-pvt-ltd-bengaluru-8-to-13-years-210826932923</t>
  </si>
  <si>
    <t>Experience in driving GitHub adoption across enterprise. &lt;br&gt;&lt;br&gt;Knowledge / Experience. 8+ years of overall experience,with 4+ years working on AI / GenAI / Agentic AI . &lt;br&gt;&lt;br&gt;Experience designing and building applications using GitHub copilot . &lt;br&gt;&lt;br&gt;Experience in prompt engineering.</t>
  </si>
  <si>
    <t>https://img.naukimg.com/logo_images/groups/v1/21746.gif</t>
  </si>
  <si>
    <t>fis-jobs-careers-17489</t>
  </si>
  <si>
    <t>Ai,Azure,Commercial Lending,Compliance,Github,Ai Solutions,Apis,Artificial Intelligence</t>
  </si>
  <si>
    <t>Engineer Lead, Artificial Intelligence / Machine Learning</t>
  </si>
  <si>
    <t>HSBC Group Reviews by Employees</t>
  </si>
  <si>
    <t>https://www.ambitionbox.com/reviews/hsbc-group-reviews?utm_campaign=srp_ratings&amp;utm_medium=desktop&amp;utm_source=naukri</t>
  </si>
  <si>
    <t>https://portal.careers.hsbc.com/careers?pid=563774607593966&amp;domain=hsbc.com</t>
  </si>
  <si>
    <t>https://www.naukri.com/cloudgateway-apply/apply-services/v0/apply/saveCompanyApply?id=&amp;file=191225503735&amp;logstr=srprestapi</t>
  </si>
  <si>
    <t>Hsbc</t>
  </si>
  <si>
    <t>3-7 Yrs</t>
  </si>
  <si>
    <t>/job-listings-machine-learning-data-scientist-hsbc-electronic-data-processing-india-pvt-ltd-bengaluru-3-to-7-years-191225503735</t>
  </si>
  <si>
    <t>Strong communication and collaboration skills,with the ability to work effectively in a team environment. Disclaimer: This job description has been sourced from a public domain and may have been modified by Naukri.com to improve clarity for our users&lt;br&gt;&lt;br&gt;Experience with deep learning frameworks such as TensorFlow or PyTorch</t>
  </si>
  <si>
    <t>https://img.naukimg.com/logo_images/groups/v1/164080.gif</t>
  </si>
  <si>
    <t>hsbc-jobs-careers-7097</t>
  </si>
  <si>
    <t>python,data analysis,data domain,vertex,data processing,google,anomaly detection,machine learning</t>
  </si>
  <si>
    <t>Machine Learning Data Scientist</t>
  </si>
  <si>
    <t>https://ag.wd3.myworkdayjobs.com/en-US/Airbus/job/Bangalore-Area/Flight-physics-ARtificial-intelligence-and-Machine-learning-Data-Scientist---FARMer_JR10401653-1</t>
  </si>
  <si>
    <t>https://www.naukri.com/cloudgateway-apply/apply-services/v0/apply/saveCompanyApply?id=&amp;file=060726504368&amp;logstr=srprestapi</t>
  </si>
  <si>
    <t>Premium Aerotec</t>
  </si>
  <si>
    <t>5-10 Yrs</t>
  </si>
  <si>
    <t>/job-listings-artificial-intelligence-and-machine-learning-data-scientist-aerotec-bengaluru-5-to-10-years-060726504368</t>
  </si>
  <si>
    <t>&lt;div&gt; Flight Physics CoC is looking for a Machine Learning and Data Scientist Engineer to join our Flight Physics FARM team. &lt;/div&gt; &lt;div&gt; The objective of the Flight Physics FARM team is to reinforce the technical and operational leadership in the 1G Artificial Intelligence ecosystem and be in position to support all the Flight Physics business needs. &lt;/div&gt; &lt;div&gt; You will join the transnational Core Team, composed of 3-5 full-time data scientists and AI specialists, serves as the central technical execution engine and primary Doers (FARMer) tasked with moving AI concepts to working prototypes. This team translates high-level business needs into technical requirements, develops initial validated models, and drives the adoption of standardized MLOps and POD platforms to ensure technical consistency across the Flight Physics organization. Critically, they also partner with the domains and Technical Experts to define and execute the Verification &amp; Validation (V&amp;V) strategy essential for future certification. &lt;/div&gt; &lt;div&gt; Accoutabilities: &lt;/div&gt; &lt;div&gt; The central team of data scientists and AI specialists in 1GZT is accountable for: &lt;/div&gt; &lt;ul&gt; &lt;li&gt; &lt;div&gt; Technical Expertise: They are the deep-level experts responsible for selecting, developing, and applying advanced AI techniques, such as LLMs, CNNs, and creating surrogate models. &lt;/div&gt; &lt;/li&gt; &lt;li&gt; &lt;div&gt; Framing &amp; Prototyping: Their primary focus is on rapid prototyping and feasibility studies for high-impact use cases (like the "Vibration Killer" lighthouse projects). They translate high-level business needs into technical requirements and develop the initial, validated AI models. &lt;/div&gt; &lt;/li&gt; &lt;li&gt; &lt;div&gt; Centralized Standards: They are responsible for driving the adoption of standardized tools and platforms like MLOps and POD for training and deployment, ensuring technical consistency across the Flight Physics organization. &lt;/div&gt; &lt;/li&gt; &lt;li&gt; &lt;div&gt; V&amp;V Partnership: They work with the domains Technical Experts to define and execute the Verification &amp; Validation (V&amp;V) strategy for the prototypes, which is critical for future certification. &lt;/div&gt; &lt;/li&gt; &lt;/ul&gt; &lt;div&gt; Main activities &lt;/div&gt; &lt;ul&gt; &lt;li&gt; &lt;div&gt; Data Analytics: Apply your data science expertise to process, analyze, and interpret flight physics data. &lt;/div&gt; &lt;/li&gt; &lt;li&gt; &lt;div&gt; Process Improvement: Identify and drive process improvements, build compelling business cases, and test, mature, and industrialize these improvements to enhance our capabilities. &lt;/div&gt; &lt;/li&gt; &lt;li&gt; &lt;div&gt; Community Building: Build and foster the FARM community in flight physics to promote exchange, mutual support, and co-creation. &lt;/div&gt; &lt;/li&gt; &lt;li&gt; &lt;div&gt; Networking: Connect with data science networks both within and outside Airbus to share knowledge and best practices. &lt;/div&gt; &lt;/li&gt; &lt;li&gt; &lt;div&gt; Team Support: Support and collaborate with aerodynamic engineering teams in their daily tasks, especially during peak workloads from industrial programs such as wind tunnel testing, numerical simulation, analysis, and modeling. &lt;/div&gt; &lt;/li&gt; &lt;li&gt; &lt;div&gt; Leadership: Mentor and inspire technical teams, introducing data science methods to drive innovation and efficiency in engineering organizations. &lt;/div&gt; &lt;/li&gt; &lt;li&gt; &lt;div&gt; Prototyping for Industrialization: Frame and build high-impact prototypes (e.g. Vibration Killer, OAD Surrogates). Prepare for hand-over for industrialization by building up MLOps and POD deployment workflows &lt;/div&gt; &lt;/li&gt; &lt;li&gt; &lt;div&gt; Domain Consulting: Act as a "detached" specialist within Aerodynamics, Loads, or Mass domains to identify pain points, define business cases (ROI), and translate engineering needs into technical AI requirements. &lt;/div&gt; &lt;/li&gt; &lt;li&gt; &lt;div&gt; Data Governance: Establish data ownership, improve data traceability, and ensure that "fuel for AI" is accessible, clean, and standardized across 1G. &lt;/div&gt; &lt;/li&gt; &lt;li&gt; &lt;div&gt; Supplier management: Manage external partners on technical deliverables for computing infrastructure, data engineering where needed. &lt;/div&gt; &lt;/li&gt; &lt;/ul&gt; &lt;div&gt; Desired skills and qualifications &lt;/div&gt; &lt;ul&gt; &lt;li&gt; &lt;div&gt; Master s degree in Aerospace Engineering, Mathematics, Data Science, Computer Science, or a related field. &lt;/div&gt; &lt;/li&gt; &lt;li&gt; &lt;div&gt; Proven track record in data science and analytics with at least 5 years of professional experience, including experience in AI and big data analytics. &lt;/div&gt; &lt;/li&gt; &lt;li&gt; &lt;div&gt; Proficiency in Python and fluency in the core data-science stack (NumPy, SciPy, Pandas, Scikit-Learn, PyTorch, Jupyter). &lt;/div&gt; &lt;/li&gt; &lt;li&gt; &lt;div&gt; Experience with SQL and basic proficiency in C/C++ and Fortran are additional assets. &lt;/div&gt; &lt;/li&gt; &lt;li&gt; &lt;div&gt; Familiarity with the design and maintenance of robust ETL pipelines (Airflow, Spark, or equivalent) and databases (on-premises or in cloud). &lt;/div&gt; &lt;/li&gt; &lt;li&gt; &lt;div&gt; Hands-on experience with major cloud analytics stacks (AWS, Azure, Google Cloud) for large-scale processing and model serving. &lt;/div&gt; &lt;/li&gt; &lt;li&gt; &lt;div&gt; Experience implementing experiment and model tracking for reproducibility and suitable for regulatory reviews (e.g., MLflow, DVC). &lt;/div&gt; &lt;/li&gt; &lt;li&gt; &lt;div&gt; Knowledge in Flight Physics in the aerospace context is mandatory &lt;/div&gt; &lt;/li&gt; &lt;li&gt; &lt;div&gt; 5+ years Experience in aircraft design, characterization, simulation is mandatory. &lt;/div&gt; &lt;/li&gt; &lt;li&gt; &lt;div&gt; Experience in the aerospace industry or a related field will be valuable. In particular, experience with engineering or physics-based simulations is a strong plus. &lt;/div&gt; &lt;/li&gt; &lt;li&gt; &lt;div&gt; Excellent interpersonal and communication skills, with the ability to work effectively in a team environment. &lt;/div&gt; &lt;/li&gt; &lt;li&gt; &lt;div&gt; Strong analytical and problem-solving skills, with a focus on data-driven decision-making. &lt;/div&gt; &lt;/li&gt; &lt;li&gt; &lt;div&gt; Ability to explain complex methods and the strategic value of data science to both engineers and senior managers. &lt;/div&gt; &lt;/li&gt; &lt;li&gt; &lt;div&gt; Integrity, confidence to speak up, and a commitment to act with integrity. &lt;/div&gt; &lt;/li&gt; &lt;li&gt; &lt;div&gt; Evident ability to learn and grow fast. &lt;/div&gt; &lt;/li&gt; &lt;li&gt; &lt;div&gt; Good analytical capabilities, assertive and stress resilient. &lt;/div&gt; &lt;/li&gt; &lt;li&gt; &lt;div&gt; Proven experience mentoring technical teams and introducing data-science methods in engineering organizations. &lt;/div&gt; &lt;/li&gt; &lt;li&gt; &lt;div&gt; Supplier management experience (Mandatory) &lt;/div&gt; &lt;/li&gt; &lt;li&gt; &lt;div&gt; Advanced proficiency in English. &lt;/div&gt; &lt;/li&gt; &lt;li&gt; &lt;div&gt; Willingness to travel as needed. &lt;/div&gt; &lt;/li&gt; &lt;li&gt; &lt;div&gt; Commitment to compliance and integrity. &lt;/div&gt; &lt;/li&gt; &lt;/ul&gt; &lt;div&gt; This job requires an awareness of any potential compliance risks and a commitment to act with integrity, as the foundation for the Company s success, reputation and sustainable growth. &lt;/div&gt;
Disclaimer: This job posting has been aggregated from external source. Role details, content, and availability are subject to change. Applicants are advised to confirm the latest information directly on the company website before applying.</t>
  </si>
  <si>
    <t>060726504368</t>
  </si>
  <si>
    <t>https://img.naukimg.com/logo_images/groups/v1/7029887.gif</t>
  </si>
  <si>
    <t>premium-aerotec-jobs-careers-125076821</t>
  </si>
  <si>
    <t>C++,Simulation,Aerospace,Analytical,Consulting,Aerodynamics,Monitoring,SQL</t>
  </si>
  <si>
    <t>ARtificial intelligence and Machine learning Data Scientist</t>
  </si>
  <si>
    <t>https://careers.ibm.com/en_US/careers/JobDetail?jobId=129392&amp;source=JB_Naukri.com+%28India%29</t>
  </si>
  <si>
    <t>https://www.naukri.com/cloudgateway-apply/apply-services/v0/apply/saveCompanyApply?id=&amp;file=200826923685&amp;logstr=srprestapi</t>
  </si>
  <si>
    <t>10 Days Ago</t>
  </si>
  <si>
    <t>/job-listings-data-scientist-artificial-intelligence-ibm-india-pvt-limited-bengaluru-5-to-10-years-200826923685</t>
  </si>
  <si>
    <t>&lt;b&gt;Your role and responsibilities&lt;/b&gt;&lt;br /&gt;&lt;div&gt;&lt;p&gt;As a Data Scientist with expertise in Artificial Intelligence, you will skillfully combine data analysis and business acumen to tackle cognitive computing challenges. You will be responsible for architecting and delivering AI solutions using cutting-edge technologies, with a strong focus on foundation models and large language models.&lt;br /&gt;&lt;br /&gt;&lt;b&gt;Your primary responsibilities will include&lt;/b&gt;:&lt;br /&gt;&lt;/p&gt;&lt;li&gt;&lt;strong&gt;Design AI Solutions:&lt;/strong&gt; Architect and deliver AI solutions using cutting-edge technologies, with a strong focus on foundation models and large language models, and experience in tools like Github Copilot and Amazon Code Whisperer.&lt;br /&gt;&lt;/li&gt;&lt;li&gt;&lt;strong&gt;Develop Cognitive Solutions:&lt;/strong&gt; Create comprehensive cognitive solutions that effectively process and analyze both structured and unstructured data, utilizing expertise in NLP, ML, and other specialized areas such as Image Processing, Video Processing, Voice Processing, or Watson technologies.&lt;br /&gt;&lt;/li&gt;&lt;li&gt;&lt;strong&gt;Implement AI Frameworks:&lt;/strong&gt; Apply strong programming skills, with proficiency in Python and experience with AI frameworks such as TensorFlow, PyTorch, Keras, or Hugging Face, to develop and deploy AI models.&lt;br /&gt;&lt;/li&gt;&lt;li&gt;&lt;strong&gt;Manage AI Project Lifecycle:&lt;/strong&gt; Oversee the full AI project lifecycle, from research and prototyping to deployment in production environments, ensuring successful project delivery.&lt;br /&gt;&lt;/li&gt;&lt;li&gt;&lt;strong&gt;Collaborate with Stakeholders:&lt;/strong&gt; Work with various stakeholders to identify business problems and leverage the power of artificial intelligence for cognitive computing, driving business value through AI-driven solutions.&lt;br /&gt;&lt;br /&gt;&lt;b&gt;Required education&lt;/b&gt;&lt;br /&gt;&lt;/li&gt;&lt;/div&gt;&lt;div&gt;                                                                                            Bachelor's Degree                                                                                    &lt;br /&gt;&lt;br /&gt;&lt;b&gt;Preferred education&lt;/b&gt;&lt;br /&gt;&lt;/div&gt;&lt;div&gt;                                                                                            Master's Degree                                                                                    &lt;br /&gt;&lt;br /&gt;&lt;b&gt;Required technical and professional expertise&lt;/b&gt;&lt;br /&gt;&lt;/div&gt;&lt;div&gt;&lt;p&gt;&lt;/p&gt;&lt;li&gt;&lt;strong&gt;Advanced Analytics Techniques:&lt;/strong&gt; Exposure to advanced analytics techniques for structured data, including data analysis and interpretation, to inform business decisions and tackle cognitive computing challenges.&lt;br /&gt;&lt;/li&gt;&lt;li&gt;&lt;strong&gt;AI Frameworks and Tools:&lt;/strong&gt; Experience working with AI frameworks such as TensorFlow, PyTorch, Keras, or Hugging Face, and tools like Github Copilot and Amazon Code Whisperer to develop and deploy AI models.&lt;br /&gt;&lt;/li&gt;&lt;li&gt;&lt;strong&gt;Programming Skills:&lt;/strong&gt; Proficiency in Python programming language, with experience in applying programming skills to develop and deploy AI solutions.&lt;br /&gt;&lt;/li&gt;&lt;li&gt;&lt;strong&gt;NLP and ML Methods:&lt;/strong&gt; Exposure to Natural Language Processing (NLP) and Machine Learning (ML) methods for unstructured content, including foundation models and large language models.&lt;br /&gt;&lt;/li&gt;&lt;li&gt;&lt;strong&gt;Cloud Platforms and Databases:&lt;/strong&gt; Experience working with cloud platforms (e.g. Kubernetes, AWS, Azure, GCP) and related services, as well as relational and NoSQL databases (SQL, Postgres, DB2, MongoDB).&lt;br /&gt;&lt;br /&gt;&lt;b&gt;Preferred technical and professional experience&lt;/b&gt;&lt;br /&gt;&lt;/li&gt;&lt;/div&gt;&lt;div&gt;&lt;p&gt;&lt;/p&gt;&lt;li&gt;&lt;strong&gt;Familiarity with Modern UI:&lt;/strong&gt; Familiarity with modern UI frameworks such as Backbone.js, AngularJS, React.js, Ember.js, Bootstrap, and JQuery, with the ability to apply this knowledge in developing AI solutions.&lt;br /&gt;&lt;/li&gt;&lt;li&gt;&lt;strong&gt;Understanding of Libraries:&lt;/strong&gt; Understanding in the usage of libraries such as SciKit Learn, Pandas, Matplotlib, etc., with the ability to apply this knowledge in developing AI solutions.&lt;br /&gt;&lt;/li&gt;&lt;li&gt;&lt;strong&gt;Operating Systems Knowledge:&lt;/strong&gt; Experience working with various operating systems (Linux, Windows, iOS, Android), with the ability to apply this knowledge in developing and deploying AI solutions.&lt;p&gt;&lt;/p&gt;&lt;/li&gt;&lt;/div&gt;&lt;div&gt;&lt;br /&gt;&lt;strong&gt;Years of Experience:&lt;/strong&gt;&lt;br /&gt;5-10                                                                                    &lt;/div&gt;</t>
  </si>
  <si>
    <t>python,security management,data analytics,data analysis,natural language processing,data,power bi,machine learning</t>
  </si>
  <si>
    <t>Infosys Reviews by Employees</t>
  </si>
  <si>
    <t>https://www.ambitionbox.com/reviews/infosys-reviews?utm_campaign=srp_ratings&amp;utm_medium=desktop&amp;utm_source=naukri</t>
  </si>
  <si>
    <t>women</t>
  </si>
  <si>
    <t>Infosys</t>
  </si>
  <si>
    <t>Prefers women</t>
  </si>
  <si>
    <t>5-8 Yrs</t>
  </si>
  <si>
    <t>6 Days Ago</t>
  </si>
  <si>
    <t>/job-listings-artificial-intelligence-engineer-pan-india-infosys-hyderabad-chennai-bengaluru-5-to-8-years-170826004896</t>
  </si>
  <si>
    <t>&lt;p&gt; &lt;/p&gt;&lt;p&gt;Job Summary&lt;/p&gt;&lt;p&gt;We are seeking a highly skilled &lt;strong&gt;Generative AI Engineer&lt;/strong&gt; with strong expertise in &lt;strong&gt;Python, Machine Learning, Large Language Models (LLMs), Retrieval Augmented Generation (RAG), Natural Language Processing (NLP), and Cloud Technologies&lt;/strong&gt;. The ideal candidate will design, develop, and deploy scalable AI-powered applications leveraging modern AI frameworks, vector databases, cloud platforms, and microservices architecture.&lt;/p&gt;&lt;p&gt;Key Responsibilities&lt;/p&gt;&lt;p&gt;Generative AI &amp; LLM Development&lt;/p&gt;&lt;ul&gt;&lt;li&gt;Design and implement AI-powered applications using &lt;strong&gt;Large Language Models (GPT, Llama, Claude, Gemini, Mistral, etc.)&lt;/strong&gt;.&lt;/li&gt;&lt;li&gt;Build and optimize &lt;strong&gt;Retrieval Augmented Generation (RAG)&lt;/strong&gt; pipelines for enterprise use cases.&lt;/li&gt;&lt;li&gt;Develop conversational AI solutions, chatbots, virtual assistants, and AI agents.&lt;/li&gt;&lt;li&gt;Create and optimize prompts using advanced &lt;strong&gt;Prompt Engineering&lt;/strong&gt; techniques.&lt;/li&gt;&lt;li&gt;Fine-tune, evaluate, and deploy LLMs for business-specific requirements.&lt;/li&gt;&lt;li&gt;Integrate AI solutions with enterprise applications and APIs.&lt;/li&gt;&lt;/ul&gt;&lt;p&gt;Machine Learning &amp; NLP&lt;/p&gt;&lt;ul&gt;&lt;li&gt;Develop, train, and deploy Machine Learning models using Python-based frameworks.&lt;/li&gt;&lt;li&gt;Implement NLP solutions including: &lt;/li&gt;&lt;ul&gt;&lt;li&gt;Text Classification&lt;/li&gt;&lt;li&gt;Named Entity Recognition (NER)&lt;/li&gt;&lt;li&gt;Sentiment Analysis&lt;/li&gt;&lt;li&gt;Information Extraction&lt;/li&gt;&lt;li&gt;Document Processing&lt;/li&gt;&lt;li&gt;Semantic Search&lt;/li&gt;&lt;/ul&gt;&lt;li&gt;Perform model monitoring, evaluation, and performance optimization.&lt;/li&gt;&lt;/ul&gt;&lt;p&gt;RAG &amp; Vector Databases&lt;/p&gt;&lt;ul&gt;&lt;li&gt;Build scalable RAG architectures using LangChain and related frameworks.&lt;/li&gt;&lt;li&gt;Implement embedding generation and semantic search solutions.&lt;/li&gt;&lt;li&gt;Work with vector databases such as: &lt;/li&gt;&lt;ul&gt;&lt;li&gt;Pinecone&lt;/li&gt;&lt;li&gt;ChromaDB&lt;/li&gt;&lt;li&gt;Weaviate&lt;/li&gt;&lt;li&gt;FAISS&lt;/li&gt;&lt;li&gt;Milvus&lt;/li&gt;&lt;li&gt;Azure AI Search&lt;/li&gt;&lt;/ul&gt;&lt;li&gt;Optimize retrieval accuracy, latency, and relevance.&lt;/li&gt;&lt;/ul&gt;&lt;p&gt;Backend Development&lt;/p&gt;&lt;ul&gt;&lt;li&gt;Develop scalable backend services using: &lt;/li&gt;&lt;ul&gt;&lt;li&gt;Python&lt;/li&gt;&lt;li&gt;Java&lt;/li&gt;&lt;li&gt;Spring Boot&lt;/li&gt;&lt;/ul&gt;&lt;li&gt;Build and maintain RESTful APIs and microservices.&lt;/li&gt;&lt;li&gt;Design robust integration layers between AI models and enterprise systems.&lt;/li&gt;&lt;/ul&gt;&lt;p&gt;Cloud &amp; DevOps&lt;/p&gt;&lt;ul&gt;&lt;li&gt;Deploy AI and ML workloads on: &lt;/li&gt;&lt;ul&gt;&lt;li&gt;AWS&lt;/li&gt;&lt;li&gt;Azure&lt;/li&gt;&lt;/ul&gt;&lt;li&gt;Develop serverless applications using &lt;strong&gt;Azure Functions&lt;/strong&gt;.&lt;/li&gt;&lt;li&gt;Containerize applications using &lt;strong&gt;Docker&lt;/strong&gt;.&lt;/li&gt;&lt;li&gt;Implement CI/CD pipelines and cloud-native deployment strategies.&lt;/li&gt;&lt;li&gt;Monitor and optimize cloud infrastructure costs and performance.&lt;/li&gt;&lt;/ul&gt;&lt;p&gt;Database Management&lt;/p&gt;&lt;ul&gt;&lt;li&gt;Design and optimize SQL queries and database schemas.&lt;/li&gt;&lt;li&gt;Work with relational databases and AI data pipelines.&lt;/li&gt;&lt;li&gt;Manage metadata and vector storage solutions.&lt;/li&gt;&lt;/ul&gt;&lt;p&gt;Required Skills&lt;/p&gt;&lt;p&gt;Technical Skills&lt;/p&gt;&lt;ul&gt;&lt;li&gt;Strong programming experience in &lt;strong&gt;Python&lt;/strong&gt;.&lt;/li&gt;&lt;li&gt;Good experience in &lt;strong&gt;Java&lt;/strong&gt; and &lt;strong&gt;Spring Boot&lt;/strong&gt;.&lt;/li&gt;&lt;li&gt;Strong understanding of &lt;strong&gt;Machine Learning&lt;/strong&gt; and &lt;strong&gt;Deep Learning&lt;/strong&gt; concepts.&lt;/li&gt;&lt;li&gt;Hands-on experience with &lt;strong&gt;Large Language Models (LLMs)&lt;/strong&gt;.&lt;/li&gt;&lt;li&gt;Experience building production-grade &lt;strong&gt;RAG&lt;/strong&gt; solutions.&lt;/li&gt;&lt;li&gt;Expertise in &lt;strong&gt;Natural Language Processing (NLP)&lt;/strong&gt;.&lt;/li&gt;&lt;li&gt;Experience with &lt;strong&gt;LangChain&lt;/strong&gt;, LangGraph, LlamaIndex, or equivalent frameworks.&lt;/li&gt;&lt;li&gt;Knowledge of &lt;strong&gt;Prompt Engineering&lt;/strong&gt; techniques.&lt;/li&gt;&lt;li&gt;Experience with &lt;strong&gt;Vector Databases&lt;/strong&gt; and Embedding Models.&lt;/li&gt;&lt;li&gt;Strong SQL and database design skills.&lt;/li&gt;&lt;li&gt;Experience developing &lt;strong&gt;REST APIs&lt;/strong&gt; and &lt;strong&gt;Microservices&lt;/strong&gt;.&lt;/li&gt;&lt;li&gt;Hands-on experience with &lt;strong&gt;Docker&lt;/strong&gt;.&lt;/li&gt;&lt;li&gt;Experience with &lt;strong&gt;AWS&lt;/strong&gt; and/or &lt;strong&gt;Microsoft Azure&lt;/strong&gt;.&lt;/li&gt;&lt;li&gt;Experience with &lt;strong&gt;Azure Functions&lt;/strong&gt;.&lt;/li&gt;&lt;/ul&gt;&lt;p&gt;Preferred Skills&lt;/p&gt;&lt;ul&gt;&lt;li&gt;Experience with MLOps tools and model deployment.&lt;/li&gt;&lt;li&gt;Knowledge of Kubernetes.&lt;/li&gt;&lt;li&gt;Familiarity with Hugging Face ecosystem.&lt;/li&gt;&lt;li&gt;Experience with AI Agents and Agentic AI frameworks.&lt;/li&gt;&lt;li&gt;Knowledge of Generative AI governance and responsible AI practices.&lt;/li&gt;&lt;li&gt;Exposure to multi-modal AI applications.&lt;/li&gt;&lt;/ul&gt;&lt;p&gt;Qualifications&lt;/p&gt;&lt;ul&gt;&lt;li&gt;Bachelor's or master's degree in computer science, Artificial Intelligence, Data Science, Engineering, or related field.&lt;/li&gt;&lt;li&gt;Experience delivering enterprise-scale AI applications.&lt;/li&gt;&lt;/ul&gt;</t>
  </si>
  <si>
    <t>https://img.naukimg.com/logo_images/groups/v1/13832.gif</t>
  </si>
  <si>
    <t>Hybrid - Bengaluru, Hyderabad, Chennai</t>
  </si>
  <si>
    <t>infosys-jobs-careers-11244</t>
  </si>
  <si>
    <t>Artificial Intelligence,generative ai,Large Language Model,Azure Functions,LLM,Retrieval Augmented Generation,Machine Learning,Microsoft Azure</t>
  </si>
  <si>
    <t>Artificial Intelligence Engineer- Pan India</t>
  </si>
  <si>
    <t>12 Days Ago</t>
  </si>
  <si>
    <t>/job-listings-artificial-intelligence-developer-infosys-pune-chennai-bengaluru-5-to-10-years-180826009185</t>
  </si>
  <si>
    <t>Proficiency in Python and ML libraries such as TensorFlow,PyTorch,Scikit-learn,Pandas,and NumPy&lt;br&gt;&lt;br&gt; Bachelors or masters degree in computer science,Artificial Intelligence,Data Science,or a related field&lt;br&gt;&lt;br&gt;Required Skills&lt;br&gt;&lt;br&gt;Preferred Skills&lt;br&gt;&lt;br&gt;Experience with Generative AI,LLMs,Prompt Engineering,and Retrieval-Augmented Generation (RAG)</t>
  </si>
  <si>
    <t>Hybrid - Bengaluru, Pune, Chennai</t>
  </si>
  <si>
    <t>Artificial Intelligence,Tensorflow,Pytorch,Natural Language Processing,Keras,ETL,Machine Learning,Python</t>
  </si>
  <si>
    <t>Artificial Intelligence Developer</t>
  </si>
  <si>
    <t>Capco Technologies Reviews by Employees</t>
  </si>
  <si>
    <t>https://www.ambitionbox.com/reviews/capco-technologies-reviews?utm_campaign=srp_ratings&amp;utm_medium=desktop&amp;utm_source=naukri</t>
  </si>
  <si>
    <t>Capco</t>
  </si>
  <si>
    <t>9 Days Ago</t>
  </si>
  <si>
    <t>/job-listings-artificial-intelligence-engineer-capco-pune-bengaluru-5-to-10-years-210826009532</t>
  </si>
  <si>
    <t>Awarded with Consultancy of the year in the British Bank Award and has been ranked Top 100 Best Companies for Women in India 2022 by Avtar &amp; Seramount&lt;br&gt;&lt;br&gt; Data &amp; Cloud Tools: Proficiency in SQL,Big Data Technologies,and cloud platforms like AWS SageMaker,Azure ML,or Google Cloud . Technical Skills: Expertise in machine learning,deep learning,NLP,computer vision,and algorithm development</t>
  </si>
  <si>
    <t>https://img.naukimg.com/logo_images/groups/v1/4586641.gif</t>
  </si>
  <si>
    <t>Bengaluru, Pune</t>
  </si>
  <si>
    <t>capco-jobs-careers-114714</t>
  </si>
  <si>
    <t>Aiml,Machine Learning,Python,Intelligence,Artificial Intelligence,Machine</t>
  </si>
  <si>
    <t>AVIN Systems Reviews by Employees</t>
  </si>
  <si>
    <t>https://www.ambitionbox.com/reviews/avin-systems-reviews?utm_campaign=srp_ratings&amp;utm_medium=desktop&amp;utm_source=naukri</t>
  </si>
  <si>
    <t>Avin Systems</t>
  </si>
  <si>
    <t>2-5 Yrs</t>
  </si>
  <si>
    <t>5 Days Ago</t>
  </si>
  <si>
    <t>/job-listings-artificial-intelligence-engineer-avin-systems-bengaluru-2-to-5-years-250826012754</t>
  </si>
  <si>
    <t>Familiarity with cloud services (Azure preferred) and containerization (Docker) &lt;br&gt;&lt;br&gt;Preferred Qualifications. &lt;br&gt;&lt;br&gt;Proficiency in Python programming with experience in NumPy,SciPy,and data processing libraries &lt;br&gt;&lt;br&gt;Experience shipping AI products used by real users in production</t>
  </si>
  <si>
    <t>https://img.naukimg.com/logo_images/groups/v1/4582011.gif</t>
  </si>
  <si>
    <t>avin-systems-jobs-careers-3780176</t>
  </si>
  <si>
    <t>Genitic Algorithms,ACO,Dijkstra,Python,Graph Neural Networks,CAD,Neural networks,Intelligence</t>
  </si>
  <si>
    <t>Carelon Global Solutions Reviews by Employees</t>
  </si>
  <si>
    <t>https://www.ambitionbox.com/reviews/carelon-global-solutions-reviews?utm_campaign=srp_ratings&amp;utm_medium=desktop&amp;utm_source=naukri</t>
  </si>
  <si>
    <t>Carelon Global Solutions</t>
  </si>
  <si>
    <t>/job-listings-artificial-intelligence-developer-carelon-global-solutions-gurugram-bengaluru-3-to-7-years-170426013396</t>
  </si>
  <si>
    <t>Required Skills &lt;br&gt;&lt;br&gt;Strong experience with Agentic AI frameworks : AutoGen,CrewAI,LangGraph</t>
  </si>
  <si>
    <t>https://img.naukimg.com/logo_images/groups/v1/4608615.gif</t>
  </si>
  <si>
    <t>Hybrid - Bengaluru, Gurugram</t>
  </si>
  <si>
    <t>legato-jobs-careers-3974784</t>
  </si>
  <si>
    <t>Artificial Intelligence,LLM,Machine Learning,Vector,Python,Natural Language Processing,Vector Database,RAG</t>
  </si>
  <si>
    <t>9-11 Yrs</t>
  </si>
  <si>
    <t>/job-listings-artificial-intelligence-engineer-pan-india-infosys-hyderabad-chennai-bengaluru-9-to-11-years-170826030661</t>
  </si>
  <si>
    <t>LTM Limited Reviews by Employees</t>
  </si>
  <si>
    <t>https://www.ambitionbox.com/reviews/ltm-limited-reviews?utm_campaign=srp_ratings&amp;utm_medium=desktop&amp;utm_source=naukri</t>
  </si>
  <si>
    <t>LTM</t>
  </si>
  <si>
    <t>6-11 Yrs</t>
  </si>
  <si>
    <t>/job-listings-artificial-intelligence-engineer-ltm-kolkata-hyderabad-bengaluru-6-to-11-years-270826010600</t>
  </si>
  <si>
    <t>&lt;p&gt; Job Title:&lt;br /&gt;Data Scientist / Gen AI Engineer / AIML Engineer&lt;br /&gt;Experience:&lt;br /&gt;6  12 Years&lt;br /&gt;Location:&lt;br /&gt;Pan India (Hybrid / Onsite as per project needs)&lt;br /&gt;Mandatory Skills (MustHave):&lt;br /&gt;Data Science&lt;br /&gt;Generative AI (Gen AI)&lt;br /&gt;Python&lt;br /&gt;Retrieval Augmented Generation (RAG)&lt;br /&gt;AI / ML&lt;br /&gt;NLP&lt;br /&gt;Cloud platforms: Azure / AWS / GCP&lt;br /&gt;Secondary Skills (Any of the below):&lt;br /&gt;Machine Learning, Deep Learning, ChatGPT, LangChain, Prompt Engineering, Vector Databases, RAG Pipelines, LLaMA, Computer Vision, OCR, Transformers, Regression, Forecasting, Classification, Hyperparameter Tuning, MLOps, Inference, Model Training, Model Deployment&lt;br /&gt;Job Description:&lt;br /&gt;We are looking for experienced Data Science / GenAI professionals with strong handson expertise in AI/ML and Large Language Models to work on enterprisegrade solutions.&lt;br /&gt;Key Responsibilities:&lt;br /&gt;Design, develop, and deploy AI/ML and Generative AI solutions&lt;br /&gt;Build and optimize RAGbased architectures using LLMs&lt;br /&gt;Work with structured and unstructured data at scale&lt;br /&gt;Implement models for NLP, forecasting, classification, and regression&lt;br /&gt;Collaborate in a fastpaced, agile team environment&lt;br /&gt;Required Experience &amp; Knowledge:&lt;br /&gt;4–12 years of experience in Data Engineering, Data Science, AI/ML&lt;br /&gt;Strong understanding of ML algorithms:&lt;br /&gt;GPTs, CNN, RNN, kNN, Naive Bayes, SVM, Decision Forests&lt;br /&gt;Handson with Python and SQL (Scala / Java / C++ is a plus)&lt;br /&gt;Experience with Cloudnative development&lt;br /&gt;Exposure to Big Data &amp; AI platforms:&lt;br /&gt;AWS SageMaker, Azure Cognitive Services, Google Colab, Hadoop, PySpark, Hive, AWS EMR&lt;br /&gt;Experience with NoSQL &amp; Vector Databases:&lt;br /&gt;MongoDB, Cassandra, HBase, FAISS, etc.&lt;br /&gt;Strong applied statistics: distributions, hypothesis testing, regression&lt;br /&gt;Proficiency with Data Science frameworks:&lt;br /&gt;TensorFlow, Keras, PyTorch, Pandas, NumPy, CNTK&lt;br /&gt;Experience with LLMs &amp; NLP/NLG:&lt;br /&gt;BERT, LLaMA, GPT, BLOOM, PaLM, LaMDA, DALLE&lt;br /&gt;BI exposure: Tableau / Power BI is an added advantage&lt;br /&gt;Strong communication, presentation, and stakeholdermanagement skills&lt;br /&gt;Who Should Apply:&lt;br /&gt;Professionals with handson GenAI / RAG / LLM experience&lt;br /&gt;Candidates comfortable working endtoend—from model training to deployment&lt;br /&gt;Datadriven mindset with strong analytical and business acumen&lt;br /&gt;How to Apply (Important):&lt;br /&gt; Share your resume at:&lt;br /&gt;&lt;strong&gt;purbita.mondal@ltm.com&lt;/strong&gt;&lt;br /&gt;Mandatory Email Subject Line Format:&lt;br /&gt;Data Scientist / GenAI – Total Experience – Relevant Experience – Notice Period – Current Location&lt;br /&gt;Email Body Must Include:&lt;br /&gt;Total Experience&lt;br /&gt;Relevant Experience in GenAI / AIML&lt;br /&gt;Notice Period&lt;br /&gt;Current Location&lt;br /&gt;Current &amp; Expected CTC&lt;br /&gt; Profiles without relevant GenAI / AIML handson experience may not be considered.&lt;br /&gt; &lt;/p&gt;&lt;br /&gt;&lt;br /&gt;</t>
  </si>
  <si>
    <t>https://img.naukimg.com/logo_images/groups/v1/7519247.gif</t>
  </si>
  <si>
    <t>10-20 Lacs PA</t>
  </si>
  <si>
    <t>Hybrid - Bengaluru, Kolkata, Hyderabad</t>
  </si>
  <si>
    <t>ltm-jobs-careers-5790</t>
  </si>
  <si>
    <t>Data Science,Artificial Intelligence,Python,Natural Language Processing,Microsoft Azure,Machine Learning,Deep Learning,Microsoft</t>
  </si>
  <si>
    <t>7-9 Yrs</t>
  </si>
  <si>
    <t>/job-listings-artificial-intelligence-engineer-pan-india-infosys-hyderabad-chennai-bengaluru-7-to-9-years-170826030591</t>
  </si>
  <si>
    <t>Capgemini Reviews by Employees</t>
  </si>
  <si>
    <t>https://www.ambitionbox.com/reviews/capgemini-reviews?utm_campaign=srp_ratings&amp;utm_medium=desktop&amp;utm_source=naukri</t>
  </si>
  <si>
    <t>Capgemini</t>
  </si>
  <si>
    <t>/job-listings-senior-artificial-intelligence-engineer-capgemini-pune-bengaluru-delhi-ncr-6-to-10-years-280826002654</t>
  </si>
  <si>
    <t>Hands-on experience with Kore.ai platform development,bot building,and integrations&lt;br&gt;&lt;br&gt;The candidate should possess hands-on experience with Large Language Models (LLMs),Retrieval-Augmented Generation (RAG) architectures,prompt engineering,and enterprise AI integrations,along with strong programming skills in Python and JavaScript .  . Key Responsibilities &lt;br&gt;&lt;br&gt;Experience: 6-8 Years</t>
  </si>
  <si>
    <t>https://img.naukimg.com/logo_images/groups/v1/1288.gif</t>
  </si>
  <si>
    <t>Hybrid - Bengaluru, Pune, Delhi / NCR</t>
  </si>
  <si>
    <t>capgemini-jobs-careers-649</t>
  </si>
  <si>
    <t>AI agents,Javascript,Kore.AI,Python,Contact Center Solutions,Artificial Intelligence,Senior,Center</t>
  </si>
  <si>
    <t>Senior Artificial Intelligence Engineer</t>
  </si>
  <si>
    <t>Tech Mahindra Reviews by Employees</t>
  </si>
  <si>
    <t>https://www.ambitionbox.com/reviews/tech-mahindra-reviews?utm_campaign=srp_ratings&amp;utm_medium=desktop&amp;utm_source=naukri</t>
  </si>
  <si>
    <t>Tech Mahindra</t>
  </si>
  <si>
    <t>7-11 Yrs</t>
  </si>
  <si>
    <t>/job-listings-artificial-intelligence-engineer-tech-mahindra-pune-chennai-bengaluru-7-to-11-years-280826009678</t>
  </si>
  <si>
    <t>Required Experience &lt;br&gt;&lt;br&gt;Proficient across AI-assisted coding,testing,debugging,refactoring,code reviews,and documentation &lt;br&gt;&lt;br&gt;Preferred &lt;br&gt;&lt;br&gt;Experience with performance optimization,indexing,and database design &lt;br&gt;&lt;br&gt;Document processing or LLM integration experience</t>
  </si>
  <si>
    <t>https://img.naukimg.com/logo_images/groups/v1/2114.gif</t>
  </si>
  <si>
    <t>tech-mahindra-jobs-careers-1066</t>
  </si>
  <si>
    <t>AI Engineer,angular,Front End,Azure OpenAI Service,Aiml,Machine Learning,FULL STACK DEVELOPER,Python</t>
  </si>
  <si>
    <t>Arivon Technologies Reviews by Employees</t>
  </si>
  <si>
    <t>https://www.ambitionbox.com/reviews/arivon-technologies-reviews?utm_campaign=srp_ratings&amp;utm_medium=desktop&amp;utm_source=naukri</t>
  </si>
  <si>
    <t>http://www.arivontech.com/careers/</t>
  </si>
  <si>
    <t>https://www.naukri.com/cloudgateway-apply/apply-services/v0/apply/saveCompanyApply?id=&amp;file=260826501368&amp;logstr=srprestapi</t>
  </si>
  <si>
    <t>Arivon Technologies</t>
  </si>
  <si>
    <t>/job-listings-sr-artificial-intelligence-ai-software-engineer-arivon-technologies-bengaluru-5-to-10-years-260826501368</t>
  </si>
  <si>
    <t>data processing for pre training and fine tuning.  . LLM alignment,reinforcement learning for language model tuning,efficient training and inference.  . Multilingual and multimodal modeling.  . Hands-on experience ML,NLP and DL frameworks like PyTorch / Tensorflow and SFT on LLM.  . Proficient in leveraging LangChain for the development and integration of LLMs into diverse applications.</t>
  </si>
  <si>
    <t>https://img.naukimg.com/logo_images/groups/v1/2884636.gif</t>
  </si>
  <si>
    <t>arivon-technologies-jobs-careers-3609458</t>
  </si>
  <si>
    <t>fine tuning,cloud services,generative ai,data processing,ai,cloud platforms,computer engineering,llm</t>
  </si>
  <si>
    <t>Sr Artificial Intelligence (AI) Software Engineer</t>
  </si>
  <si>
    <t>Cognizant Reviews by Employees</t>
  </si>
  <si>
    <t>https://www.ambitionbox.com/reviews/cognizant-reviews?utm_campaign=srp_ratings&amp;utm_medium=desktop&amp;utm_source=naukri</t>
  </si>
  <si>
    <t>Cognizant</t>
  </si>
  <si>
    <t>/job-listings-artificial-intelligence-developer-cognizant-bengaluru-6-to-10-years-260826030665</t>
  </si>
  <si>
    <t>Java experience (e.g.,Spring Boot) sufficient to collaborate with / extend JVM services where required&lt;br&gt;&lt;br&gt;Required Qualifications &lt;br&gt;&lt;br&gt;2+ years hands-on experience building LangChain applications (chains,tools,agents,callbacks,tracing) and deploying them to production&lt;br&gt;&lt;br&gt; experience tuning latency / cost/correctness</t>
  </si>
  <si>
    <t>https://img.naukimg.com/logo_images/groups/v1/4156.gif</t>
  </si>
  <si>
    <t>Hybrid - Bengaluru</t>
  </si>
  <si>
    <t>cognizant-jobs-careers-2114</t>
  </si>
  <si>
    <t>AI,Artificial intelligence,Intelligence,Development</t>
  </si>
  <si>
    <t>WFO</t>
  </si>
  <si>
    <t>Hybrid</t>
  </si>
  <si>
    <t>Remote</t>
  </si>
  <si>
    <t>Engg Software QA</t>
  </si>
  <si>
    <t>Data Science Analytics</t>
  </si>
  <si>
    <t>IT &amp; Info Security</t>
  </si>
  <si>
    <t>Engg - Hardware &amp; Networks</t>
  </si>
  <si>
    <t>Consulting</t>
  </si>
  <si>
    <t>UX, Design &amp; Architecture</t>
  </si>
  <si>
    <t>Sales &amp; BD</t>
  </si>
  <si>
    <t>Customer Success, Service &amp; Ops</t>
  </si>
  <si>
    <t>Finance &amp; Accounting</t>
  </si>
  <si>
    <t>Marketing &amp; Comms</t>
  </si>
  <si>
    <t>Project &amp; Program Mgmt</t>
  </si>
  <si>
    <t>BFSI Investment Trading</t>
  </si>
  <si>
    <t>HR</t>
  </si>
  <si>
    <t>Production, Manufacturing &amp; Engg</t>
  </si>
  <si>
    <t>Product Management</t>
  </si>
  <si>
    <t>Teaching &amp; Training</t>
  </si>
  <si>
    <t>R&amp;D</t>
  </si>
  <si>
    <t>Procurement &amp; Supply Chain</t>
  </si>
  <si>
    <t>Content Editing Journalism</t>
  </si>
  <si>
    <t>Strategic &amp; Top Management</t>
  </si>
  <si>
    <t>Healthcare &amp; Life Sciences</t>
  </si>
  <si>
    <t>Admin &amp; Facilities</t>
  </si>
  <si>
    <t>Media Production &amp; Entertainment</t>
  </si>
  <si>
    <t>Legal &amp; Regulatory</t>
  </si>
  <si>
    <t>Rest</t>
  </si>
  <si>
    <t>3-6 lacs</t>
  </si>
  <si>
    <t>0-3</t>
  </si>
  <si>
    <t>6-10 lacs</t>
  </si>
  <si>
    <t>10-15 lacs</t>
  </si>
  <si>
    <t>15-25 lacs</t>
  </si>
  <si>
    <t>25-50</t>
  </si>
  <si>
    <t>50-75</t>
  </si>
  <si>
    <t>75-100</t>
  </si>
  <si>
    <t>1-5 cr</t>
  </si>
  <si>
    <t>5 cr+</t>
  </si>
  <si>
    <t>Overall</t>
  </si>
  <si>
    <t>Engg &amp; Software</t>
  </si>
  <si>
    <t>Data Science</t>
  </si>
  <si>
    <t>Nvidia?</t>
  </si>
  <si>
    <t>Engg Hardware &amp; Networks</t>
  </si>
  <si>
    <t>Companies</t>
  </si>
  <si>
    <t>Accenture</t>
  </si>
  <si>
    <t>TCS</t>
  </si>
  <si>
    <t>Photon</t>
  </si>
  <si>
    <t>Epam Systems</t>
  </si>
  <si>
    <t>Hexaware Tech</t>
  </si>
  <si>
    <t>Iris Software</t>
  </si>
  <si>
    <t>Cisco</t>
  </si>
  <si>
    <t>CGI</t>
  </si>
  <si>
    <t>Salesforce</t>
  </si>
  <si>
    <t>Fractal</t>
  </si>
  <si>
    <t>Paytm</t>
  </si>
  <si>
    <t>Jones Lang LaSalle</t>
  </si>
  <si>
    <t>Optum</t>
  </si>
  <si>
    <t>Nvidia</t>
  </si>
  <si>
    <t>Crisil</t>
  </si>
  <si>
    <t>AMD</t>
  </si>
  <si>
    <t>Blue Yonder</t>
  </si>
  <si>
    <t>Nagarro</t>
  </si>
  <si>
    <t>Goldman Sachs</t>
  </si>
  <si>
    <t>Texas Instruments</t>
  </si>
  <si>
    <t>Nomura</t>
  </si>
  <si>
    <t>Intel</t>
  </si>
  <si>
    <t>jobs require just any graduate</t>
  </si>
  <si>
    <t>Engg and Software</t>
  </si>
  <si>
    <t>Software Development</t>
  </si>
  <si>
    <t>of which</t>
  </si>
  <si>
    <t>Software Development within Engg &amp; Software</t>
  </si>
  <si>
    <t>Last 1 day</t>
  </si>
  <si>
    <t>3 days</t>
  </si>
  <si>
    <t>7 days</t>
  </si>
  <si>
    <t>15 days</t>
  </si>
  <si>
    <t>30 days</t>
  </si>
  <si>
    <t>1 day</t>
  </si>
  <si>
    <t>1-3 days</t>
  </si>
  <si>
    <t>3-7 days</t>
  </si>
  <si>
    <t>7-15 days</t>
  </si>
  <si>
    <t>15-30 days</t>
  </si>
  <si>
    <t>30+ days</t>
  </si>
  <si>
    <t>Experience required</t>
  </si>
  <si>
    <t>0-3 years</t>
  </si>
  <si>
    <t>Fresher</t>
  </si>
  <si>
    <t>&lt;5</t>
  </si>
  <si>
    <t>India Layoffs</t>
  </si>
  <si>
    <t>Year</t>
  </si>
  <si>
    <t>AI</t>
  </si>
  <si>
    <t>Non-Ai</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</si>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</sst>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80"/>
  <sheetViews>
    <sheetView tabSelected="1" workbookViewId="0">
      <selection activeCell="M21" sqref="M21"/>
    </sheetView>
  </sheetViews>
  <sheetFormatPr defaultRowHeight="15" x14ac:dyDescent="0.25"/>
  <cols>
    <col min="1" max="1" width="24.7109375" customWidth="1"/>
  </cols>
  <sheetData>
    <row r="1" spans="1:12" x14ac:dyDescent="0.25">
      <c r="A1" t="s">
        <v>0</v>
      </c>
      <c r="E1" t="s">
        <v>1</v>
      </c>
      <c r="F1">
        <v>92336</v>
      </c>
    </row>
    <row r="3" spans="1:12" x14ac:dyDescent="0.25">
      <c r="A3" t="s">
        <v>1</v>
      </c>
      <c r="B3">
        <v>91146</v>
      </c>
      <c r="H3" t="s">
        <v>1</v>
      </c>
      <c r="I3">
        <v>91145</v>
      </c>
    </row>
    <row r="4" spans="1:12" x14ac:dyDescent="0.25">
      <c r="A4" t="s">
        <v>308</v>
      </c>
      <c r="B4">
        <v>83457</v>
      </c>
      <c r="H4" t="s">
        <v>379</v>
      </c>
      <c r="I4">
        <v>263</v>
      </c>
      <c r="K4" t="s">
        <v>384</v>
      </c>
      <c r="L4">
        <f>I4</f>
        <v>263</v>
      </c>
    </row>
    <row r="5" spans="1:12" x14ac:dyDescent="0.25">
      <c r="A5" t="s">
        <v>309</v>
      </c>
      <c r="B5">
        <v>6601</v>
      </c>
      <c r="H5" t="s">
        <v>380</v>
      </c>
      <c r="I5">
        <v>1296</v>
      </c>
      <c r="K5" t="s">
        <v>385</v>
      </c>
      <c r="L5">
        <f>I5-I4</f>
        <v>1033</v>
      </c>
    </row>
    <row r="6" spans="1:12" x14ac:dyDescent="0.25">
      <c r="A6" t="s">
        <v>310</v>
      </c>
      <c r="B6">
        <v>1088</v>
      </c>
      <c r="H6" t="s">
        <v>381</v>
      </c>
      <c r="I6">
        <v>11130</v>
      </c>
      <c r="K6" t="s">
        <v>386</v>
      </c>
      <c r="L6">
        <f t="shared" ref="L6:L8" si="0">I6-I5</f>
        <v>9834</v>
      </c>
    </row>
    <row r="7" spans="1:12" x14ac:dyDescent="0.25">
      <c r="H7" t="s">
        <v>382</v>
      </c>
      <c r="I7">
        <v>26152</v>
      </c>
      <c r="K7" t="s">
        <v>387</v>
      </c>
      <c r="L7">
        <f t="shared" si="0"/>
        <v>15022</v>
      </c>
    </row>
    <row r="8" spans="1:12" x14ac:dyDescent="0.25">
      <c r="A8" t="s">
        <v>311</v>
      </c>
      <c r="B8">
        <v>58565</v>
      </c>
      <c r="D8">
        <v>74906</v>
      </c>
      <c r="E8" t="s">
        <v>374</v>
      </c>
      <c r="H8" t="s">
        <v>383</v>
      </c>
      <c r="I8">
        <v>46327</v>
      </c>
      <c r="K8" t="s">
        <v>388</v>
      </c>
      <c r="L8">
        <f t="shared" si="0"/>
        <v>20175</v>
      </c>
    </row>
    <row r="9" spans="1:12" x14ac:dyDescent="0.25">
      <c r="A9" t="s">
        <v>312</v>
      </c>
      <c r="B9">
        <v>9204</v>
      </c>
      <c r="K9" t="s">
        <v>389</v>
      </c>
      <c r="L9">
        <f>I3-SUM(L4:L8)</f>
        <v>44818</v>
      </c>
    </row>
    <row r="10" spans="1:12" x14ac:dyDescent="0.25">
      <c r="A10" t="s">
        <v>313</v>
      </c>
      <c r="B10">
        <v>3661</v>
      </c>
    </row>
    <row r="11" spans="1:12" x14ac:dyDescent="0.25">
      <c r="A11" t="s">
        <v>314</v>
      </c>
      <c r="B11">
        <v>2120</v>
      </c>
      <c r="C11" t="s">
        <v>349</v>
      </c>
      <c r="E11" t="s">
        <v>390</v>
      </c>
    </row>
    <row r="12" spans="1:12" x14ac:dyDescent="0.25">
      <c r="A12" t="s">
        <v>315</v>
      </c>
      <c r="B12">
        <v>1788</v>
      </c>
      <c r="E12" t="s">
        <v>392</v>
      </c>
      <c r="F12">
        <v>3547</v>
      </c>
    </row>
    <row r="13" spans="1:12" x14ac:dyDescent="0.25">
      <c r="A13" t="s">
        <v>316</v>
      </c>
      <c r="B13">
        <v>1634</v>
      </c>
      <c r="E13" t="s">
        <v>391</v>
      </c>
      <c r="F13">
        <v>34471</v>
      </c>
    </row>
    <row r="14" spans="1:12" x14ac:dyDescent="0.25">
      <c r="A14" t="s">
        <v>317</v>
      </c>
      <c r="B14">
        <v>1570</v>
      </c>
      <c r="E14" t="s">
        <v>393</v>
      </c>
      <c r="F14">
        <v>51124</v>
      </c>
    </row>
    <row r="15" spans="1:12" x14ac:dyDescent="0.25">
      <c r="A15" t="s">
        <v>318</v>
      </c>
      <c r="B15">
        <v>1475</v>
      </c>
    </row>
    <row r="16" spans="1:12" x14ac:dyDescent="0.25">
      <c r="A16" t="s">
        <v>319</v>
      </c>
      <c r="B16">
        <v>1441</v>
      </c>
    </row>
    <row r="17" spans="1:2" x14ac:dyDescent="0.25">
      <c r="A17" t="s">
        <v>320</v>
      </c>
      <c r="B17">
        <v>1370</v>
      </c>
    </row>
    <row r="18" spans="1:2" x14ac:dyDescent="0.25">
      <c r="A18" t="s">
        <v>321</v>
      </c>
      <c r="B18">
        <v>1087</v>
      </c>
    </row>
    <row r="19" spans="1:2" x14ac:dyDescent="0.25">
      <c r="A19" t="s">
        <v>322</v>
      </c>
      <c r="B19">
        <v>713</v>
      </c>
    </row>
    <row r="20" spans="1:2" x14ac:dyDescent="0.25">
      <c r="A20" t="s">
        <v>323</v>
      </c>
      <c r="B20">
        <v>708</v>
      </c>
    </row>
    <row r="21" spans="1:2" x14ac:dyDescent="0.25">
      <c r="A21" t="s">
        <v>324</v>
      </c>
      <c r="B21">
        <v>641</v>
      </c>
    </row>
    <row r="22" spans="1:2" x14ac:dyDescent="0.25">
      <c r="A22" t="s">
        <v>325</v>
      </c>
      <c r="B22">
        <v>603</v>
      </c>
    </row>
    <row r="23" spans="1:2" x14ac:dyDescent="0.25">
      <c r="A23" t="s">
        <v>326</v>
      </c>
      <c r="B23">
        <v>527</v>
      </c>
    </row>
    <row r="24" spans="1:2" x14ac:dyDescent="0.25">
      <c r="A24" t="s">
        <v>327</v>
      </c>
      <c r="B24">
        <v>450</v>
      </c>
    </row>
    <row r="25" spans="1:2" x14ac:dyDescent="0.25">
      <c r="A25" t="s">
        <v>328</v>
      </c>
      <c r="B25">
        <v>290</v>
      </c>
    </row>
    <row r="26" spans="1:2" x14ac:dyDescent="0.25">
      <c r="A26" t="s">
        <v>329</v>
      </c>
      <c r="B26">
        <v>273</v>
      </c>
    </row>
    <row r="27" spans="1:2" x14ac:dyDescent="0.25">
      <c r="A27" t="s">
        <v>330</v>
      </c>
      <c r="B27">
        <v>248</v>
      </c>
    </row>
    <row r="28" spans="1:2" x14ac:dyDescent="0.25">
      <c r="A28" t="s">
        <v>331</v>
      </c>
      <c r="B28">
        <v>240</v>
      </c>
    </row>
    <row r="29" spans="1:2" x14ac:dyDescent="0.25">
      <c r="A29" t="s">
        <v>332</v>
      </c>
      <c r="B29">
        <v>231</v>
      </c>
    </row>
    <row r="30" spans="1:2" x14ac:dyDescent="0.25">
      <c r="A30" t="s">
        <v>333</v>
      </c>
      <c r="B30">
        <v>127</v>
      </c>
    </row>
    <row r="31" spans="1:2" x14ac:dyDescent="0.25">
      <c r="A31" t="s">
        <v>334</v>
      </c>
      <c r="B31">
        <v>76</v>
      </c>
    </row>
    <row r="32" spans="1:2" x14ac:dyDescent="0.25">
      <c r="A32" t="s">
        <v>335</v>
      </c>
      <c r="B32">
        <f>B3-SUM(B8:B31)</f>
        <v>2104</v>
      </c>
    </row>
    <row r="35" spans="1:7" x14ac:dyDescent="0.25">
      <c r="B35" t="s">
        <v>346</v>
      </c>
      <c r="C35" t="s">
        <v>347</v>
      </c>
      <c r="D35" t="s">
        <v>348</v>
      </c>
      <c r="E35" t="s">
        <v>350</v>
      </c>
      <c r="G35" t="s">
        <v>378</v>
      </c>
    </row>
    <row r="36" spans="1:7" x14ac:dyDescent="0.25">
      <c r="A36" t="s">
        <v>337</v>
      </c>
      <c r="B36">
        <v>8525</v>
      </c>
      <c r="C36">
        <v>4443</v>
      </c>
      <c r="D36">
        <v>723</v>
      </c>
      <c r="E36">
        <v>182</v>
      </c>
      <c r="G36">
        <v>3458</v>
      </c>
    </row>
    <row r="37" spans="1:7" x14ac:dyDescent="0.25">
      <c r="A37" t="s">
        <v>336</v>
      </c>
      <c r="B37">
        <v>32982</v>
      </c>
      <c r="C37">
        <v>21148</v>
      </c>
      <c r="D37">
        <v>2575</v>
      </c>
      <c r="E37">
        <v>744</v>
      </c>
      <c r="G37">
        <v>15850</v>
      </c>
    </row>
    <row r="38" spans="1:7" x14ac:dyDescent="0.25">
      <c r="A38" s="1" t="s">
        <v>338</v>
      </c>
      <c r="B38">
        <v>50322</v>
      </c>
      <c r="C38">
        <v>34529</v>
      </c>
      <c r="D38">
        <v>4466</v>
      </c>
      <c r="E38">
        <v>1196</v>
      </c>
      <c r="G38">
        <v>25085</v>
      </c>
    </row>
    <row r="39" spans="1:7" x14ac:dyDescent="0.25">
      <c r="A39" t="s">
        <v>339</v>
      </c>
      <c r="B39">
        <v>36397</v>
      </c>
      <c r="C39">
        <v>23993</v>
      </c>
      <c r="D39">
        <v>3955</v>
      </c>
      <c r="E39">
        <v>859</v>
      </c>
      <c r="G39">
        <v>17110</v>
      </c>
    </row>
    <row r="40" spans="1:7" x14ac:dyDescent="0.25">
      <c r="A40" t="s">
        <v>340</v>
      </c>
      <c r="B40">
        <v>23771</v>
      </c>
      <c r="C40">
        <v>14385</v>
      </c>
      <c r="D40">
        <v>3024</v>
      </c>
      <c r="E40">
        <v>470</v>
      </c>
      <c r="G40">
        <v>10665</v>
      </c>
    </row>
    <row r="41" spans="1:7" x14ac:dyDescent="0.25">
      <c r="A41" t="s">
        <v>341</v>
      </c>
      <c r="B41">
        <v>15421</v>
      </c>
      <c r="C41">
        <v>9484</v>
      </c>
      <c r="D41">
        <v>2211</v>
      </c>
      <c r="E41">
        <v>383</v>
      </c>
      <c r="G41">
        <v>7248</v>
      </c>
    </row>
    <row r="42" spans="1:7" x14ac:dyDescent="0.25">
      <c r="A42" t="s">
        <v>342</v>
      </c>
      <c r="B42">
        <v>2096</v>
      </c>
      <c r="C42">
        <v>1273</v>
      </c>
      <c r="D42">
        <v>336</v>
      </c>
      <c r="E42">
        <v>35</v>
      </c>
      <c r="G42">
        <v>1000</v>
      </c>
    </row>
    <row r="43" spans="1:7" x14ac:dyDescent="0.25">
      <c r="A43" t="s">
        <v>343</v>
      </c>
      <c r="B43">
        <v>399</v>
      </c>
      <c r="C43">
        <v>220</v>
      </c>
      <c r="D43">
        <v>62</v>
      </c>
      <c r="E43">
        <v>0</v>
      </c>
      <c r="G43">
        <v>180</v>
      </c>
    </row>
    <row r="44" spans="1:7" x14ac:dyDescent="0.25">
      <c r="A44" t="s">
        <v>344</v>
      </c>
      <c r="B44">
        <v>131</v>
      </c>
      <c r="C44">
        <v>69</v>
      </c>
      <c r="D44">
        <v>21</v>
      </c>
      <c r="E44">
        <v>0</v>
      </c>
      <c r="G44">
        <v>58</v>
      </c>
    </row>
    <row r="45" spans="1:7" x14ac:dyDescent="0.25">
      <c r="A45" t="s">
        <v>345</v>
      </c>
      <c r="B45">
        <v>1</v>
      </c>
      <c r="C45">
        <v>1</v>
      </c>
      <c r="D45">
        <v>0</v>
      </c>
      <c r="E45">
        <v>0</v>
      </c>
      <c r="G45">
        <v>1</v>
      </c>
    </row>
    <row r="47" spans="1:7" x14ac:dyDescent="0.25">
      <c r="A47" t="s">
        <v>351</v>
      </c>
      <c r="B47" t="s">
        <v>346</v>
      </c>
      <c r="C47" t="s">
        <v>347</v>
      </c>
      <c r="D47" t="s">
        <v>348</v>
      </c>
      <c r="E47" t="s">
        <v>350</v>
      </c>
    </row>
    <row r="48" spans="1:7" x14ac:dyDescent="0.25">
      <c r="A48" t="s">
        <v>352</v>
      </c>
      <c r="B48">
        <v>8660</v>
      </c>
      <c r="C48">
        <v>6804</v>
      </c>
      <c r="D48">
        <v>758</v>
      </c>
      <c r="E48">
        <v>47</v>
      </c>
    </row>
    <row r="49" spans="1:5" x14ac:dyDescent="0.25">
      <c r="A49" t="s">
        <v>208</v>
      </c>
      <c r="B49">
        <v>1873</v>
      </c>
      <c r="C49">
        <v>1457</v>
      </c>
      <c r="D49">
        <v>213</v>
      </c>
      <c r="E49">
        <v>10</v>
      </c>
    </row>
    <row r="50" spans="1:5" x14ac:dyDescent="0.25">
      <c r="A50" t="s">
        <v>353</v>
      </c>
      <c r="B50">
        <v>1395</v>
      </c>
      <c r="C50">
        <v>746</v>
      </c>
      <c r="D50">
        <v>99</v>
      </c>
      <c r="E50">
        <v>13</v>
      </c>
    </row>
    <row r="51" spans="1:5" x14ac:dyDescent="0.25">
      <c r="A51" t="s">
        <v>271</v>
      </c>
      <c r="B51">
        <v>561</v>
      </c>
      <c r="C51">
        <v>371</v>
      </c>
      <c r="D51">
        <v>36</v>
      </c>
      <c r="E51">
        <v>7</v>
      </c>
    </row>
    <row r="52" spans="1:5" x14ac:dyDescent="0.25">
      <c r="A52" t="s">
        <v>354</v>
      </c>
      <c r="B52">
        <v>558</v>
      </c>
      <c r="C52">
        <v>494</v>
      </c>
      <c r="D52">
        <v>43</v>
      </c>
      <c r="E52">
        <v>1</v>
      </c>
    </row>
    <row r="53" spans="1:5" x14ac:dyDescent="0.25">
      <c r="A53" t="s">
        <v>108</v>
      </c>
      <c r="B53">
        <v>405</v>
      </c>
      <c r="C53">
        <v>127</v>
      </c>
      <c r="D53">
        <v>62</v>
      </c>
      <c r="E53">
        <v>0</v>
      </c>
    </row>
    <row r="54" spans="1:5" x14ac:dyDescent="0.25">
      <c r="A54" t="s">
        <v>355</v>
      </c>
      <c r="B54">
        <v>320</v>
      </c>
      <c r="C54">
        <v>266</v>
      </c>
      <c r="D54">
        <v>27</v>
      </c>
      <c r="E54">
        <v>4</v>
      </c>
    </row>
    <row r="55" spans="1:5" x14ac:dyDescent="0.25">
      <c r="A55" t="s">
        <v>356</v>
      </c>
      <c r="B55">
        <v>303</v>
      </c>
      <c r="C55">
        <v>231</v>
      </c>
      <c r="D55">
        <v>19</v>
      </c>
      <c r="E55">
        <v>0</v>
      </c>
    </row>
    <row r="56" spans="1:5" x14ac:dyDescent="0.25">
      <c r="A56" t="s">
        <v>358</v>
      </c>
      <c r="B56">
        <v>299</v>
      </c>
      <c r="C56">
        <v>195</v>
      </c>
      <c r="D56">
        <v>6</v>
      </c>
      <c r="E56">
        <v>57</v>
      </c>
    </row>
    <row r="57" spans="1:5" x14ac:dyDescent="0.25">
      <c r="A57" t="s">
        <v>357</v>
      </c>
      <c r="B57">
        <v>286</v>
      </c>
      <c r="C57">
        <v>256</v>
      </c>
      <c r="D57">
        <v>16</v>
      </c>
      <c r="E57">
        <v>0</v>
      </c>
    </row>
    <row r="58" spans="1:5" x14ac:dyDescent="0.25">
      <c r="A58" t="s">
        <v>301</v>
      </c>
      <c r="B58">
        <v>276</v>
      </c>
      <c r="C58">
        <v>197</v>
      </c>
      <c r="D58">
        <v>35</v>
      </c>
      <c r="E58">
        <v>3</v>
      </c>
    </row>
    <row r="59" spans="1:5" x14ac:dyDescent="0.25">
      <c r="A59" t="s">
        <v>359</v>
      </c>
      <c r="B59">
        <v>269</v>
      </c>
      <c r="C59">
        <v>218</v>
      </c>
      <c r="D59">
        <v>15</v>
      </c>
      <c r="E59">
        <v>3</v>
      </c>
    </row>
    <row r="60" spans="1:5" x14ac:dyDescent="0.25">
      <c r="A60" t="s">
        <v>360</v>
      </c>
      <c r="B60">
        <v>254</v>
      </c>
      <c r="C60">
        <v>159</v>
      </c>
      <c r="D60">
        <v>6</v>
      </c>
      <c r="E60">
        <v>1</v>
      </c>
    </row>
    <row r="61" spans="1:5" x14ac:dyDescent="0.25">
      <c r="A61" t="s">
        <v>361</v>
      </c>
      <c r="B61">
        <v>252</v>
      </c>
      <c r="C61">
        <v>170</v>
      </c>
      <c r="D61">
        <v>73</v>
      </c>
      <c r="E61">
        <v>0</v>
      </c>
    </row>
    <row r="62" spans="1:5" x14ac:dyDescent="0.25">
      <c r="A62" t="s">
        <v>362</v>
      </c>
      <c r="B62">
        <v>247</v>
      </c>
      <c r="C62">
        <v>13</v>
      </c>
      <c r="D62">
        <v>6</v>
      </c>
      <c r="E62">
        <v>0</v>
      </c>
    </row>
    <row r="63" spans="1:5" x14ac:dyDescent="0.25">
      <c r="A63" t="s">
        <v>363</v>
      </c>
      <c r="B63">
        <v>246</v>
      </c>
      <c r="C63">
        <v>26</v>
      </c>
      <c r="D63">
        <v>10</v>
      </c>
      <c r="E63">
        <v>2</v>
      </c>
    </row>
    <row r="64" spans="1:5" x14ac:dyDescent="0.25">
      <c r="A64" t="s">
        <v>364</v>
      </c>
      <c r="B64">
        <v>218</v>
      </c>
      <c r="C64">
        <v>139</v>
      </c>
      <c r="D64">
        <v>33</v>
      </c>
      <c r="E64">
        <v>4</v>
      </c>
    </row>
    <row r="65" spans="1:5" x14ac:dyDescent="0.25">
      <c r="A65" t="s">
        <v>365</v>
      </c>
      <c r="B65">
        <v>206</v>
      </c>
      <c r="C65">
        <v>114</v>
      </c>
      <c r="D65">
        <v>1</v>
      </c>
      <c r="E65">
        <v>78</v>
      </c>
    </row>
    <row r="66" spans="1:5" x14ac:dyDescent="0.25">
      <c r="A66" t="s">
        <v>258</v>
      </c>
      <c r="B66">
        <v>183</v>
      </c>
      <c r="C66">
        <v>111</v>
      </c>
      <c r="D66">
        <v>37</v>
      </c>
      <c r="E66">
        <v>3</v>
      </c>
    </row>
    <row r="67" spans="1:5" x14ac:dyDescent="0.25">
      <c r="A67" t="s">
        <v>366</v>
      </c>
      <c r="B67">
        <v>176</v>
      </c>
      <c r="C67">
        <v>97</v>
      </c>
      <c r="D67">
        <v>43</v>
      </c>
      <c r="E67">
        <v>0</v>
      </c>
    </row>
    <row r="68" spans="1:5" x14ac:dyDescent="0.25">
      <c r="A68" t="s">
        <v>130</v>
      </c>
      <c r="B68">
        <v>155</v>
      </c>
      <c r="C68">
        <v>99</v>
      </c>
      <c r="D68">
        <v>20</v>
      </c>
      <c r="E68">
        <v>0</v>
      </c>
    </row>
    <row r="69" spans="1:5" x14ac:dyDescent="0.25">
      <c r="A69" t="s">
        <v>367</v>
      </c>
      <c r="B69">
        <v>125</v>
      </c>
      <c r="C69">
        <v>69</v>
      </c>
      <c r="D69">
        <v>0</v>
      </c>
      <c r="E69">
        <v>47</v>
      </c>
    </row>
    <row r="70" spans="1:5" x14ac:dyDescent="0.25">
      <c r="A70" t="s">
        <v>368</v>
      </c>
      <c r="B70">
        <v>102</v>
      </c>
      <c r="C70">
        <v>83</v>
      </c>
      <c r="D70">
        <v>7</v>
      </c>
      <c r="E70">
        <v>0</v>
      </c>
    </row>
    <row r="71" spans="1:5" x14ac:dyDescent="0.25">
      <c r="A71" t="s">
        <v>369</v>
      </c>
      <c r="B71">
        <v>87</v>
      </c>
      <c r="C71">
        <v>71</v>
      </c>
      <c r="D71">
        <v>9</v>
      </c>
      <c r="E71">
        <v>0</v>
      </c>
    </row>
    <row r="72" spans="1:5" x14ac:dyDescent="0.25">
      <c r="A72" t="s">
        <v>370</v>
      </c>
      <c r="B72">
        <v>85</v>
      </c>
      <c r="C72">
        <v>32</v>
      </c>
      <c r="D72">
        <v>10</v>
      </c>
      <c r="E72">
        <v>0</v>
      </c>
    </row>
    <row r="73" spans="1:5" x14ac:dyDescent="0.25">
      <c r="A73" t="s">
        <v>371</v>
      </c>
      <c r="B73">
        <v>67</v>
      </c>
      <c r="C73">
        <v>33</v>
      </c>
      <c r="D73">
        <v>0</v>
      </c>
      <c r="E73">
        <v>32</v>
      </c>
    </row>
    <row r="74" spans="1:5" x14ac:dyDescent="0.25">
      <c r="A74" t="s">
        <v>372</v>
      </c>
      <c r="B74">
        <v>66</v>
      </c>
      <c r="C74">
        <v>39</v>
      </c>
      <c r="D74">
        <v>13</v>
      </c>
      <c r="E74">
        <v>2</v>
      </c>
    </row>
    <row r="75" spans="1:5" x14ac:dyDescent="0.25">
      <c r="A75" t="s">
        <v>373</v>
      </c>
      <c r="E75">
        <v>12</v>
      </c>
    </row>
    <row r="76" spans="1:5" x14ac:dyDescent="0.25">
      <c r="A76" t="s">
        <v>335</v>
      </c>
      <c r="B76">
        <f>$B$3-SUM(B48:B74)</f>
        <v>73472</v>
      </c>
      <c r="C76">
        <f>B8-SUM(C48:C74)</f>
        <v>45948</v>
      </c>
      <c r="D76">
        <f>B9-SUM(D48:D74)</f>
        <v>7607</v>
      </c>
      <c r="E76">
        <f>$B$11-SUM(E48:E74)</f>
        <v>1806</v>
      </c>
    </row>
    <row r="78" spans="1:5" x14ac:dyDescent="0.25">
      <c r="A78" t="s">
        <v>375</v>
      </c>
    </row>
    <row r="79" spans="1:5" x14ac:dyDescent="0.25">
      <c r="A79" t="s">
        <v>376</v>
      </c>
      <c r="B79">
        <v>42967</v>
      </c>
    </row>
    <row r="80" spans="1:5" x14ac:dyDescent="0.25">
      <c r="A80" t="s">
        <v>377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08BF2-3565-4166-988D-26A68A0A34ED}">
  <dimension ref="A2:K8"/>
  <sheetViews>
    <sheetView workbookViewId="0">
      <selection activeCell="K8" sqref="K8"/>
    </sheetView>
  </sheetViews>
  <sheetFormatPr defaultRowHeight="15" x14ac:dyDescent="0.25"/>
  <sheetData>
    <row r="2" spans="1:11" x14ac:dyDescent="0.25">
      <c r="A2" t="s">
        <v>394</v>
      </c>
      <c r="J2">
        <v>4610</v>
      </c>
      <c r="K2">
        <v>4424</v>
      </c>
    </row>
    <row r="3" spans="1:11" x14ac:dyDescent="0.25">
      <c r="A3" t="s">
        <v>395</v>
      </c>
      <c r="B3" t="s">
        <v>396</v>
      </c>
      <c r="C3" t="s">
        <v>397</v>
      </c>
      <c r="D3" t="s">
        <v>398</v>
      </c>
      <c r="J3">
        <f>J2/28.3495</f>
        <v>162.61309723275542</v>
      </c>
      <c r="K3">
        <f>K2/28.3495</f>
        <v>156.05213495828852</v>
      </c>
    </row>
    <row r="4" spans="1:11" x14ac:dyDescent="0.25">
      <c r="A4" t="s">
        <v>1</v>
      </c>
      <c r="B4">
        <v>2880</v>
      </c>
      <c r="C4">
        <v>12450</v>
      </c>
      <c r="D4">
        <v>51929</v>
      </c>
      <c r="I4">
        <v>95.5</v>
      </c>
      <c r="J4">
        <f>J3*I4</f>
        <v>15529.550785728143</v>
      </c>
      <c r="K4">
        <f>K3*I4</f>
        <v>14902.978888516554</v>
      </c>
    </row>
    <row r="6" spans="1:11" x14ac:dyDescent="0.25">
      <c r="K6">
        <f>J4-K4</f>
        <v>626.57189721158829</v>
      </c>
    </row>
    <row r="7" spans="1:11" x14ac:dyDescent="0.25">
      <c r="K7">
        <f>K6*10</f>
        <v>6265.7189721158829</v>
      </c>
    </row>
    <row r="8" spans="1:11" x14ac:dyDescent="0.25">
      <c r="I8">
        <v>16700</v>
      </c>
      <c r="J8">
        <v>158000</v>
      </c>
      <c r="K8">
        <f>9000-K7</f>
        <v>2734.2810278841171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05CBD-EC5B-4471-8EC3-5355A21A7C45}">
  <dimension ref="A1:BF201"/>
  <sheetViews>
    <sheetView topLeftCell="AI1" workbookViewId="0">
      <selection activeCell="BF1" sqref="BF1"/>
    </sheetView>
  </sheetViews>
  <sheetFormatPr defaultRowHeight="15" x14ac:dyDescent="0.25"/>
  <sheetData>
    <row r="1" spans="1:58" x14ac:dyDescent="0.25">
      <c r="A1" t="s">
        <v>2</v>
      </c>
      <c r="B1" t="s">
        <v>3</v>
      </c>
      <c r="C1" t="s">
        <v>4</v>
      </c>
      <c r="D1" t="s">
        <v>5</v>
      </c>
      <c r="E1" t="s">
        <v>6</v>
      </c>
      <c r="F1" t="s">
        <v>7</v>
      </c>
      <c r="G1" t="s">
        <v>8</v>
      </c>
      <c r="H1" t="s">
        <v>9</v>
      </c>
      <c r="I1" t="s">
        <v>10</v>
      </c>
      <c r="J1" t="s">
        <v>11</v>
      </c>
      <c r="K1" t="s">
        <v>12</v>
      </c>
      <c r="L1" t="s">
        <v>13</v>
      </c>
      <c r="M1" t="s">
        <v>14</v>
      </c>
      <c r="N1" t="s">
        <v>15</v>
      </c>
      <c r="O1" t="s">
        <v>16</v>
      </c>
      <c r="P1" t="s">
        <v>17</v>
      </c>
      <c r="Q1" t="s">
        <v>18</v>
      </c>
      <c r="R1" t="s">
        <v>19</v>
      </c>
      <c r="S1" t="s">
        <v>20</v>
      </c>
      <c r="T1" t="s">
        <v>21</v>
      </c>
      <c r="U1" t="s">
        <v>22</v>
      </c>
      <c r="V1" t="s">
        <v>23</v>
      </c>
      <c r="W1" t="s">
        <v>24</v>
      </c>
      <c r="X1" t="s">
        <v>25</v>
      </c>
      <c r="Y1" t="s">
        <v>26</v>
      </c>
      <c r="Z1" t="s">
        <v>27</v>
      </c>
      <c r="AA1" t="s">
        <v>28</v>
      </c>
      <c r="AB1" t="s">
        <v>29</v>
      </c>
      <c r="AC1" t="s">
        <v>30</v>
      </c>
      <c r="AD1" t="s">
        <v>31</v>
      </c>
      <c r="AE1" t="s">
        <v>32</v>
      </c>
      <c r="AF1" t="s">
        <v>33</v>
      </c>
      <c r="AG1" t="s">
        <v>34</v>
      </c>
      <c r="AH1" t="s">
        <v>35</v>
      </c>
      <c r="AI1" t="s">
        <v>36</v>
      </c>
      <c r="AJ1" t="s">
        <v>37</v>
      </c>
      <c r="AK1" t="s">
        <v>38</v>
      </c>
      <c r="AL1" t="s">
        <v>39</v>
      </c>
      <c r="AM1" t="s">
        <v>40</v>
      </c>
      <c r="AN1" t="s">
        <v>41</v>
      </c>
      <c r="AO1" t="s">
        <v>42</v>
      </c>
      <c r="AP1" t="s">
        <v>43</v>
      </c>
      <c r="AQ1" t="s">
        <v>44</v>
      </c>
      <c r="AR1" t="s">
        <v>45</v>
      </c>
      <c r="AS1" t="s">
        <v>46</v>
      </c>
      <c r="AT1" t="s">
        <v>47</v>
      </c>
      <c r="AU1" t="s">
        <v>48</v>
      </c>
      <c r="AV1" t="s">
        <v>49</v>
      </c>
      <c r="AW1" t="s">
        <v>50</v>
      </c>
      <c r="AX1" t="s">
        <v>51</v>
      </c>
      <c r="AY1" t="s">
        <v>52</v>
      </c>
      <c r="AZ1" t="s">
        <v>53</v>
      </c>
      <c r="BA1" t="s">
        <v>54</v>
      </c>
      <c r="BB1" t="s">
        <v>55</v>
      </c>
      <c r="BC1" t="s">
        <v>56</v>
      </c>
      <c r="BD1" t="s">
        <v>57</v>
      </c>
      <c r="BE1" t="s">
        <v>58</v>
      </c>
      <c r="BF1" t="s">
        <v>59</v>
      </c>
    </row>
    <row r="2" spans="1:58" x14ac:dyDescent="0.25">
      <c r="A2">
        <v>3.9</v>
      </c>
      <c r="B2">
        <v>1515</v>
      </c>
      <c r="C2" t="s">
        <v>60</v>
      </c>
      <c r="D2" t="s">
        <v>61</v>
      </c>
      <c r="E2">
        <v>0.91388888888888886</v>
      </c>
      <c r="F2" t="s">
        <v>62</v>
      </c>
      <c r="G2">
        <v>1</v>
      </c>
      <c r="K2" t="b">
        <v>1</v>
      </c>
      <c r="L2" t="s">
        <v>63</v>
      </c>
      <c r="M2">
        <v>2927066</v>
      </c>
      <c r="N2" t="s">
        <v>64</v>
      </c>
      <c r="O2">
        <v>1759839993000</v>
      </c>
      <c r="P2" t="s">
        <v>65</v>
      </c>
      <c r="S2" t="s">
        <v>66</v>
      </c>
      <c r="T2" t="s">
        <v>67</v>
      </c>
      <c r="U2" t="s">
        <v>68</v>
      </c>
      <c r="V2">
        <v>297712</v>
      </c>
      <c r="W2" t="b">
        <v>0</v>
      </c>
      <c r="X2">
        <v>0</v>
      </c>
      <c r="Y2" t="s">
        <v>69</v>
      </c>
      <c r="Z2" t="b">
        <v>0</v>
      </c>
      <c r="AA2" t="s">
        <v>70</v>
      </c>
      <c r="AB2" t="s">
        <v>71</v>
      </c>
      <c r="AC2" t="s">
        <v>72</v>
      </c>
      <c r="AD2" t="s">
        <v>72</v>
      </c>
      <c r="AE2">
        <v>5</v>
      </c>
      <c r="AF2">
        <v>0</v>
      </c>
      <c r="AG2" t="s">
        <v>73</v>
      </c>
      <c r="AH2" t="s">
        <v>66</v>
      </c>
      <c r="AI2" t="s">
        <v>74</v>
      </c>
      <c r="AJ2" t="s">
        <v>75</v>
      </c>
      <c r="AK2" t="s">
        <v>76</v>
      </c>
      <c r="AL2" t="s">
        <v>77</v>
      </c>
      <c r="AM2" t="s">
        <v>78</v>
      </c>
      <c r="AN2" t="b">
        <v>0</v>
      </c>
      <c r="AO2">
        <v>1019</v>
      </c>
      <c r="AP2" t="s">
        <v>65</v>
      </c>
      <c r="AQ2" t="b">
        <v>1</v>
      </c>
      <c r="AR2">
        <v>0</v>
      </c>
      <c r="AS2">
        <v>0</v>
      </c>
      <c r="AT2">
        <v>0</v>
      </c>
      <c r="AU2">
        <v>0</v>
      </c>
      <c r="AV2">
        <v>0</v>
      </c>
      <c r="AW2" t="b">
        <v>0</v>
      </c>
      <c r="AX2" t="b">
        <v>0</v>
      </c>
      <c r="AY2" t="s">
        <v>79</v>
      </c>
      <c r="AZ2" t="b">
        <v>0</v>
      </c>
      <c r="BA2" t="s">
        <v>80</v>
      </c>
      <c r="BB2" t="s">
        <v>81</v>
      </c>
      <c r="BC2" t="s">
        <v>82</v>
      </c>
      <c r="BD2" t="b">
        <v>0</v>
      </c>
      <c r="BF2" t="b">
        <v>0</v>
      </c>
    </row>
    <row r="3" spans="1:58" x14ac:dyDescent="0.25">
      <c r="A3">
        <v>3.4</v>
      </c>
      <c r="B3">
        <v>47884</v>
      </c>
      <c r="C3" t="s">
        <v>83</v>
      </c>
      <c r="D3" t="s">
        <v>84</v>
      </c>
      <c r="E3">
        <v>0.62777777777777777</v>
      </c>
      <c r="G3">
        <v>1</v>
      </c>
      <c r="H3">
        <v>3730</v>
      </c>
      <c r="K3" t="b">
        <v>0</v>
      </c>
      <c r="M3">
        <v>2904476</v>
      </c>
      <c r="N3" t="s">
        <v>85</v>
      </c>
      <c r="O3">
        <v>1787808879920</v>
      </c>
      <c r="P3" t="s">
        <v>65</v>
      </c>
      <c r="S3" t="s">
        <v>86</v>
      </c>
      <c r="T3" t="s">
        <v>67</v>
      </c>
      <c r="U3" t="s">
        <v>87</v>
      </c>
      <c r="V3">
        <v>194354</v>
      </c>
      <c r="W3" t="b">
        <v>0</v>
      </c>
      <c r="X3">
        <v>0</v>
      </c>
      <c r="Y3" t="s">
        <v>88</v>
      </c>
      <c r="Z3" t="b">
        <v>1</v>
      </c>
      <c r="AA3" t="s">
        <v>89</v>
      </c>
      <c r="AB3">
        <v>270826010477</v>
      </c>
      <c r="AC3" t="s">
        <v>90</v>
      </c>
      <c r="AD3" t="s">
        <v>90</v>
      </c>
      <c r="AE3">
        <v>7</v>
      </c>
      <c r="AF3">
        <v>4</v>
      </c>
      <c r="AG3" t="s">
        <v>91</v>
      </c>
      <c r="AH3" t="s">
        <v>86</v>
      </c>
      <c r="AI3" t="s">
        <v>74</v>
      </c>
      <c r="AJ3" t="s">
        <v>75</v>
      </c>
      <c r="AK3" t="s">
        <v>76</v>
      </c>
      <c r="AL3" t="s">
        <v>92</v>
      </c>
      <c r="AM3" t="s">
        <v>78</v>
      </c>
      <c r="AN3" t="b">
        <v>1</v>
      </c>
      <c r="AO3">
        <v>1020</v>
      </c>
      <c r="AP3" t="s">
        <v>65</v>
      </c>
      <c r="AQ3" t="b">
        <v>1</v>
      </c>
      <c r="AR3">
        <v>0</v>
      </c>
      <c r="AS3">
        <v>0</v>
      </c>
      <c r="AT3">
        <v>0</v>
      </c>
      <c r="AU3">
        <v>0</v>
      </c>
      <c r="AV3">
        <v>0</v>
      </c>
      <c r="AW3" t="b">
        <v>0</v>
      </c>
      <c r="AX3" t="b">
        <v>0</v>
      </c>
      <c r="AY3" t="s">
        <v>79</v>
      </c>
      <c r="AZ3" t="b">
        <v>0</v>
      </c>
      <c r="BA3" t="s">
        <v>93</v>
      </c>
      <c r="BB3" t="s">
        <v>94</v>
      </c>
      <c r="BC3" t="s">
        <v>82</v>
      </c>
      <c r="BD3" t="b">
        <v>0</v>
      </c>
      <c r="BF3" t="b">
        <v>0</v>
      </c>
    </row>
    <row r="4" spans="1:58" x14ac:dyDescent="0.25">
      <c r="A4">
        <v>3.3</v>
      </c>
      <c r="B4">
        <v>13397</v>
      </c>
      <c r="C4" t="s">
        <v>95</v>
      </c>
      <c r="D4" t="s">
        <v>96</v>
      </c>
      <c r="E4">
        <v>0.69722222222222219</v>
      </c>
      <c r="G4">
        <v>1</v>
      </c>
      <c r="K4" t="b">
        <v>0</v>
      </c>
      <c r="M4">
        <v>676499</v>
      </c>
      <c r="N4" t="s">
        <v>97</v>
      </c>
      <c r="O4">
        <v>1787728452770</v>
      </c>
      <c r="P4" t="s">
        <v>65</v>
      </c>
      <c r="S4" t="s">
        <v>98</v>
      </c>
      <c r="T4" t="s">
        <v>67</v>
      </c>
      <c r="U4" t="s">
        <v>99</v>
      </c>
      <c r="V4">
        <v>9246</v>
      </c>
      <c r="W4" t="b">
        <v>0</v>
      </c>
      <c r="X4">
        <v>0</v>
      </c>
      <c r="Y4" t="s">
        <v>100</v>
      </c>
      <c r="Z4" t="b">
        <v>1</v>
      </c>
      <c r="AA4" t="s">
        <v>101</v>
      </c>
      <c r="AB4">
        <v>260826016031</v>
      </c>
      <c r="AC4" t="s">
        <v>102</v>
      </c>
      <c r="AD4" t="s">
        <v>102</v>
      </c>
      <c r="AE4">
        <v>8</v>
      </c>
      <c r="AF4">
        <v>4</v>
      </c>
      <c r="AG4" t="s">
        <v>91</v>
      </c>
      <c r="AH4" t="s">
        <v>98</v>
      </c>
      <c r="AI4" t="s">
        <v>74</v>
      </c>
      <c r="AJ4" t="s">
        <v>75</v>
      </c>
      <c r="AK4" t="s">
        <v>76</v>
      </c>
      <c r="AL4" t="s">
        <v>103</v>
      </c>
      <c r="AM4" t="s">
        <v>78</v>
      </c>
      <c r="AN4" t="b">
        <v>1</v>
      </c>
      <c r="AO4">
        <v>1019</v>
      </c>
      <c r="AP4" t="s">
        <v>65</v>
      </c>
      <c r="AQ4" t="b">
        <v>1</v>
      </c>
      <c r="AR4">
        <v>0</v>
      </c>
      <c r="AS4">
        <v>0</v>
      </c>
      <c r="AT4">
        <v>0</v>
      </c>
      <c r="AU4">
        <v>0</v>
      </c>
      <c r="AV4">
        <v>0</v>
      </c>
      <c r="AW4" t="b">
        <v>0</v>
      </c>
      <c r="AX4" t="b">
        <v>0</v>
      </c>
      <c r="AY4" t="s">
        <v>79</v>
      </c>
      <c r="AZ4" t="b">
        <v>0</v>
      </c>
      <c r="BA4" t="s">
        <v>104</v>
      </c>
      <c r="BB4" t="s">
        <v>105</v>
      </c>
      <c r="BC4" t="s">
        <v>82</v>
      </c>
      <c r="BD4" t="b">
        <v>0</v>
      </c>
      <c r="BE4">
        <v>4</v>
      </c>
      <c r="BF4" t="b">
        <v>0</v>
      </c>
    </row>
    <row r="5" spans="1:58" x14ac:dyDescent="0.25">
      <c r="A5">
        <v>3.4</v>
      </c>
      <c r="B5">
        <v>15355</v>
      </c>
      <c r="C5" t="s">
        <v>106</v>
      </c>
      <c r="D5" t="s">
        <v>107</v>
      </c>
      <c r="E5">
        <v>0.97222222222222221</v>
      </c>
      <c r="G5">
        <v>1</v>
      </c>
      <c r="K5" t="b">
        <v>0</v>
      </c>
      <c r="M5">
        <v>106668</v>
      </c>
      <c r="N5" t="s">
        <v>108</v>
      </c>
      <c r="O5">
        <v>1787665855265</v>
      </c>
      <c r="P5" t="s">
        <v>65</v>
      </c>
      <c r="S5" t="s">
        <v>98</v>
      </c>
      <c r="T5" t="s">
        <v>67</v>
      </c>
      <c r="U5" t="s">
        <v>99</v>
      </c>
      <c r="V5">
        <v>243080</v>
      </c>
      <c r="W5" t="b">
        <v>0</v>
      </c>
      <c r="X5">
        <v>0</v>
      </c>
      <c r="Y5" t="s">
        <v>109</v>
      </c>
      <c r="Z5" t="b">
        <v>1</v>
      </c>
      <c r="AA5" t="s">
        <v>110</v>
      </c>
      <c r="AB5">
        <v>250826030101</v>
      </c>
      <c r="AC5" t="s">
        <v>111</v>
      </c>
      <c r="AD5" t="s">
        <v>111</v>
      </c>
      <c r="AE5">
        <v>8</v>
      </c>
      <c r="AF5">
        <v>4</v>
      </c>
      <c r="AG5" t="s">
        <v>91</v>
      </c>
      <c r="AH5" t="s">
        <v>98</v>
      </c>
      <c r="AI5" t="s">
        <v>74</v>
      </c>
      <c r="AJ5" t="s">
        <v>75</v>
      </c>
      <c r="AK5" t="s">
        <v>76</v>
      </c>
      <c r="AL5" t="s">
        <v>112</v>
      </c>
      <c r="AM5" t="s">
        <v>78</v>
      </c>
      <c r="AN5" t="b">
        <v>1</v>
      </c>
      <c r="AO5">
        <v>1167</v>
      </c>
      <c r="AP5" t="s">
        <v>65</v>
      </c>
      <c r="AQ5" t="b">
        <v>1</v>
      </c>
      <c r="AR5">
        <v>0</v>
      </c>
      <c r="AS5">
        <v>0</v>
      </c>
      <c r="AT5">
        <v>0</v>
      </c>
      <c r="AU5">
        <v>0</v>
      </c>
      <c r="AV5">
        <v>0</v>
      </c>
      <c r="AW5" t="b">
        <v>0</v>
      </c>
      <c r="AX5" t="b">
        <v>0</v>
      </c>
      <c r="AY5" t="s">
        <v>79</v>
      </c>
      <c r="AZ5" t="b">
        <v>0</v>
      </c>
      <c r="BA5" t="s">
        <v>113</v>
      </c>
      <c r="BB5" t="s">
        <v>114</v>
      </c>
      <c r="BC5" t="s">
        <v>82</v>
      </c>
      <c r="BD5" t="b">
        <v>0</v>
      </c>
      <c r="BE5">
        <v>2</v>
      </c>
      <c r="BF5" t="b">
        <v>0</v>
      </c>
    </row>
    <row r="6" spans="1:58" x14ac:dyDescent="0.25">
      <c r="A6">
        <v>3.7</v>
      </c>
      <c r="B6">
        <v>305</v>
      </c>
      <c r="C6" t="s">
        <v>115</v>
      </c>
      <c r="D6" t="s">
        <v>116</v>
      </c>
      <c r="E6">
        <v>0.79791666666666672</v>
      </c>
      <c r="G6">
        <v>1</v>
      </c>
      <c r="K6" t="b">
        <v>0</v>
      </c>
      <c r="M6">
        <v>1135242</v>
      </c>
      <c r="N6" t="s">
        <v>117</v>
      </c>
      <c r="O6">
        <v>1787909984295</v>
      </c>
      <c r="P6" t="s">
        <v>65</v>
      </c>
      <c r="S6" t="s">
        <v>118</v>
      </c>
      <c r="T6" t="s">
        <v>67</v>
      </c>
      <c r="U6" t="s">
        <v>119</v>
      </c>
      <c r="V6">
        <v>425042</v>
      </c>
      <c r="W6" t="b">
        <v>0</v>
      </c>
      <c r="X6">
        <v>0</v>
      </c>
      <c r="Y6" t="s">
        <v>120</v>
      </c>
      <c r="Z6" t="b">
        <v>1</v>
      </c>
      <c r="AA6" t="s">
        <v>121</v>
      </c>
      <c r="AB6">
        <v>280726020043</v>
      </c>
      <c r="AC6" t="s">
        <v>122</v>
      </c>
      <c r="AD6" t="s">
        <v>122</v>
      </c>
      <c r="AE6">
        <v>10</v>
      </c>
      <c r="AF6">
        <v>8</v>
      </c>
      <c r="AG6" t="s">
        <v>91</v>
      </c>
      <c r="AH6" t="s">
        <v>118</v>
      </c>
      <c r="AI6" t="s">
        <v>74</v>
      </c>
      <c r="AJ6" t="s">
        <v>75</v>
      </c>
      <c r="AK6" t="s">
        <v>76</v>
      </c>
      <c r="AL6" t="s">
        <v>123</v>
      </c>
      <c r="AM6" t="s">
        <v>78</v>
      </c>
      <c r="AN6" t="b">
        <v>1</v>
      </c>
      <c r="AO6">
        <v>1008</v>
      </c>
      <c r="AP6" t="s">
        <v>65</v>
      </c>
      <c r="AQ6" t="b">
        <v>1</v>
      </c>
      <c r="AR6">
        <v>0</v>
      </c>
      <c r="AS6">
        <v>0</v>
      </c>
      <c r="AT6">
        <v>0</v>
      </c>
      <c r="AU6">
        <v>0</v>
      </c>
      <c r="AV6">
        <v>0</v>
      </c>
      <c r="AW6" t="b">
        <v>0</v>
      </c>
      <c r="AX6" t="b">
        <v>0</v>
      </c>
      <c r="AY6" t="s">
        <v>79</v>
      </c>
      <c r="AZ6" t="b">
        <v>0</v>
      </c>
      <c r="BA6" t="s">
        <v>124</v>
      </c>
      <c r="BB6" t="s">
        <v>125</v>
      </c>
      <c r="BC6" t="s">
        <v>82</v>
      </c>
      <c r="BD6" t="b">
        <v>0</v>
      </c>
      <c r="BE6">
        <v>4</v>
      </c>
      <c r="BF6" t="b">
        <v>0</v>
      </c>
    </row>
    <row r="7" spans="1:58" x14ac:dyDescent="0.25">
      <c r="A7">
        <v>3.9</v>
      </c>
      <c r="B7">
        <v>26716</v>
      </c>
      <c r="C7" t="s">
        <v>126</v>
      </c>
      <c r="D7" t="s">
        <v>127</v>
      </c>
      <c r="E7">
        <v>0.74861111111111112</v>
      </c>
      <c r="F7" t="s">
        <v>128</v>
      </c>
      <c r="G7">
        <v>1</v>
      </c>
      <c r="H7">
        <v>10201</v>
      </c>
      <c r="K7" t="b">
        <v>1</v>
      </c>
      <c r="L7" t="s">
        <v>129</v>
      </c>
      <c r="M7">
        <v>16987</v>
      </c>
      <c r="N7" t="s">
        <v>130</v>
      </c>
      <c r="O7">
        <v>1787819294543</v>
      </c>
      <c r="P7" t="s">
        <v>65</v>
      </c>
      <c r="S7" t="s">
        <v>131</v>
      </c>
      <c r="T7" t="s">
        <v>67</v>
      </c>
      <c r="U7" t="s">
        <v>87</v>
      </c>
      <c r="V7">
        <v>19288</v>
      </c>
      <c r="W7" t="b">
        <v>0</v>
      </c>
      <c r="X7">
        <v>0</v>
      </c>
      <c r="Y7" t="s">
        <v>132</v>
      </c>
      <c r="Z7" t="b">
        <v>0</v>
      </c>
      <c r="AA7" t="s">
        <v>133</v>
      </c>
      <c r="AB7">
        <v>270826917532</v>
      </c>
      <c r="AC7" t="s">
        <v>134</v>
      </c>
      <c r="AD7" t="s">
        <v>134</v>
      </c>
      <c r="AE7">
        <v>8</v>
      </c>
      <c r="AF7">
        <v>6</v>
      </c>
      <c r="AG7" t="s">
        <v>91</v>
      </c>
      <c r="AH7" t="s">
        <v>131</v>
      </c>
      <c r="AI7" t="s">
        <v>74</v>
      </c>
      <c r="AJ7" t="s">
        <v>75</v>
      </c>
      <c r="AK7" t="s">
        <v>76</v>
      </c>
      <c r="AL7" t="s">
        <v>135</v>
      </c>
      <c r="AM7" t="s">
        <v>78</v>
      </c>
      <c r="AN7" t="b">
        <v>0</v>
      </c>
      <c r="AO7">
        <v>1019</v>
      </c>
      <c r="AP7" t="s">
        <v>65</v>
      </c>
      <c r="AQ7" t="b">
        <v>1</v>
      </c>
      <c r="AR7">
        <v>0</v>
      </c>
      <c r="AS7">
        <v>0</v>
      </c>
      <c r="AT7">
        <v>0</v>
      </c>
      <c r="AU7">
        <v>0</v>
      </c>
      <c r="AV7">
        <v>0</v>
      </c>
      <c r="AW7" t="b">
        <v>0</v>
      </c>
      <c r="AX7" t="b">
        <v>0</v>
      </c>
      <c r="AY7" t="s">
        <v>79</v>
      </c>
      <c r="AZ7" t="b">
        <v>0</v>
      </c>
      <c r="BA7" t="s">
        <v>136</v>
      </c>
      <c r="BB7" t="s">
        <v>137</v>
      </c>
      <c r="BC7" t="s">
        <v>138</v>
      </c>
      <c r="BD7" t="b">
        <v>0</v>
      </c>
      <c r="BF7" t="b">
        <v>0</v>
      </c>
    </row>
    <row r="8" spans="1:58" x14ac:dyDescent="0.25">
      <c r="A8">
        <v>3.9</v>
      </c>
      <c r="B8">
        <v>26716</v>
      </c>
      <c r="C8" t="s">
        <v>126</v>
      </c>
      <c r="D8" t="s">
        <v>127</v>
      </c>
      <c r="E8">
        <v>0.5805555555555556</v>
      </c>
      <c r="F8" t="s">
        <v>139</v>
      </c>
      <c r="G8">
        <v>1</v>
      </c>
      <c r="H8">
        <v>10201</v>
      </c>
      <c r="K8" t="b">
        <v>1</v>
      </c>
      <c r="L8" t="s">
        <v>140</v>
      </c>
      <c r="M8">
        <v>16987</v>
      </c>
      <c r="N8" t="s">
        <v>130</v>
      </c>
      <c r="O8">
        <v>1787718372586</v>
      </c>
      <c r="P8" t="s">
        <v>65</v>
      </c>
      <c r="S8" t="s">
        <v>118</v>
      </c>
      <c r="T8" t="s">
        <v>67</v>
      </c>
      <c r="U8" t="s">
        <v>99</v>
      </c>
      <c r="V8">
        <v>19288</v>
      </c>
      <c r="W8" t="b">
        <v>0</v>
      </c>
      <c r="X8">
        <v>0</v>
      </c>
      <c r="Y8" t="s">
        <v>141</v>
      </c>
      <c r="Z8" t="b">
        <v>0</v>
      </c>
      <c r="AA8" t="s">
        <v>142</v>
      </c>
      <c r="AB8">
        <v>260826909019</v>
      </c>
      <c r="AC8" t="s">
        <v>134</v>
      </c>
      <c r="AD8" t="s">
        <v>134</v>
      </c>
      <c r="AE8">
        <v>10</v>
      </c>
      <c r="AF8">
        <v>8</v>
      </c>
      <c r="AG8" t="s">
        <v>91</v>
      </c>
      <c r="AH8" t="s">
        <v>118</v>
      </c>
      <c r="AI8" t="s">
        <v>74</v>
      </c>
      <c r="AJ8" t="s">
        <v>75</v>
      </c>
      <c r="AK8" t="s">
        <v>76</v>
      </c>
      <c r="AL8" t="s">
        <v>135</v>
      </c>
      <c r="AM8" t="s">
        <v>78</v>
      </c>
      <c r="AN8" t="b">
        <v>0</v>
      </c>
      <c r="AO8">
        <v>1019</v>
      </c>
      <c r="AP8" t="s">
        <v>65</v>
      </c>
      <c r="AQ8" t="b">
        <v>1</v>
      </c>
      <c r="AR8">
        <v>0</v>
      </c>
      <c r="AS8">
        <v>0</v>
      </c>
      <c r="AT8">
        <v>0</v>
      </c>
      <c r="AU8">
        <v>0</v>
      </c>
      <c r="AV8">
        <v>0</v>
      </c>
      <c r="AW8" t="b">
        <v>0</v>
      </c>
      <c r="AX8" t="b">
        <v>0</v>
      </c>
      <c r="AY8" t="s">
        <v>79</v>
      </c>
      <c r="AZ8" t="b">
        <v>0</v>
      </c>
      <c r="BA8" t="s">
        <v>136</v>
      </c>
      <c r="BB8" t="s">
        <v>143</v>
      </c>
      <c r="BC8" t="s">
        <v>138</v>
      </c>
      <c r="BD8" t="b">
        <v>0</v>
      </c>
      <c r="BF8" t="b">
        <v>0</v>
      </c>
    </row>
    <row r="9" spans="1:58" x14ac:dyDescent="0.25">
      <c r="A9">
        <v>3.2</v>
      </c>
      <c r="B9">
        <v>118481</v>
      </c>
      <c r="C9" t="s">
        <v>144</v>
      </c>
      <c r="D9" t="s">
        <v>145</v>
      </c>
      <c r="E9">
        <v>0.8208333333333333</v>
      </c>
      <c r="G9">
        <v>1</v>
      </c>
      <c r="H9">
        <v>2949</v>
      </c>
      <c r="K9" t="b">
        <v>0</v>
      </c>
      <c r="M9">
        <v>892542</v>
      </c>
      <c r="N9" t="s">
        <v>146</v>
      </c>
      <c r="O9">
        <v>1787911934859</v>
      </c>
      <c r="P9" t="s">
        <v>65</v>
      </c>
      <c r="S9" t="s">
        <v>147</v>
      </c>
      <c r="T9" t="s">
        <v>67</v>
      </c>
      <c r="U9" t="s">
        <v>119</v>
      </c>
      <c r="V9">
        <v>223346</v>
      </c>
      <c r="W9" t="b">
        <v>0</v>
      </c>
      <c r="X9">
        <v>0</v>
      </c>
      <c r="Y9" t="s">
        <v>148</v>
      </c>
      <c r="Z9" t="b">
        <v>1</v>
      </c>
      <c r="AA9" t="s">
        <v>149</v>
      </c>
      <c r="AB9">
        <v>280826008430</v>
      </c>
      <c r="AC9" t="s">
        <v>150</v>
      </c>
      <c r="AD9" t="s">
        <v>150</v>
      </c>
      <c r="AE9">
        <v>10</v>
      </c>
      <c r="AF9">
        <v>6</v>
      </c>
      <c r="AG9" t="s">
        <v>91</v>
      </c>
      <c r="AH9" t="s">
        <v>147</v>
      </c>
      <c r="AI9" t="s">
        <v>74</v>
      </c>
      <c r="AJ9" t="s">
        <v>75</v>
      </c>
      <c r="AK9" t="s">
        <v>76</v>
      </c>
      <c r="AL9" t="s">
        <v>151</v>
      </c>
      <c r="AM9" t="s">
        <v>78</v>
      </c>
      <c r="AN9" t="b">
        <v>0</v>
      </c>
      <c r="AO9">
        <v>1019</v>
      </c>
      <c r="AP9" t="s">
        <v>65</v>
      </c>
      <c r="AQ9" t="b">
        <v>1</v>
      </c>
      <c r="AR9">
        <v>0</v>
      </c>
      <c r="AS9">
        <v>0</v>
      </c>
      <c r="AT9">
        <v>0</v>
      </c>
      <c r="AU9">
        <v>0</v>
      </c>
      <c r="AV9">
        <v>0</v>
      </c>
      <c r="AW9" t="b">
        <v>0</v>
      </c>
      <c r="AX9" t="b">
        <v>0</v>
      </c>
      <c r="AY9" t="s">
        <v>79</v>
      </c>
      <c r="AZ9" t="b">
        <v>0</v>
      </c>
      <c r="BA9" t="s">
        <v>152</v>
      </c>
      <c r="BB9" t="s">
        <v>153</v>
      </c>
      <c r="BC9" t="s">
        <v>82</v>
      </c>
      <c r="BD9" t="b">
        <v>0</v>
      </c>
      <c r="BF9" t="b">
        <v>0</v>
      </c>
    </row>
    <row r="10" spans="1:58" x14ac:dyDescent="0.25">
      <c r="A10">
        <v>2.9</v>
      </c>
      <c r="B10">
        <v>37</v>
      </c>
      <c r="C10" t="s">
        <v>154</v>
      </c>
      <c r="D10" t="s">
        <v>155</v>
      </c>
      <c r="E10">
        <v>0.81458333333333333</v>
      </c>
      <c r="G10">
        <v>1</v>
      </c>
      <c r="K10" t="b">
        <v>0</v>
      </c>
      <c r="M10">
        <v>2553404</v>
      </c>
      <c r="N10" t="s">
        <v>156</v>
      </c>
      <c r="O10">
        <v>1787825015928</v>
      </c>
      <c r="P10" t="s">
        <v>65</v>
      </c>
      <c r="S10" t="s">
        <v>157</v>
      </c>
      <c r="T10" t="s">
        <v>67</v>
      </c>
      <c r="U10" t="s">
        <v>87</v>
      </c>
      <c r="V10">
        <v>1351372</v>
      </c>
      <c r="W10" t="b">
        <v>0</v>
      </c>
      <c r="X10">
        <v>0</v>
      </c>
      <c r="Y10" t="s">
        <v>158</v>
      </c>
      <c r="Z10" t="b">
        <v>1</v>
      </c>
      <c r="AA10" t="s">
        <v>159</v>
      </c>
      <c r="AB10">
        <v>290726018447</v>
      </c>
      <c r="AC10" t="s">
        <v>160</v>
      </c>
      <c r="AD10" t="s">
        <v>160</v>
      </c>
      <c r="AE10">
        <v>12</v>
      </c>
      <c r="AF10">
        <v>7</v>
      </c>
      <c r="AG10" t="s">
        <v>91</v>
      </c>
      <c r="AH10" t="s">
        <v>157</v>
      </c>
      <c r="AI10" t="s">
        <v>74</v>
      </c>
      <c r="AJ10" t="s">
        <v>75</v>
      </c>
      <c r="AK10" t="s">
        <v>76</v>
      </c>
      <c r="AL10" t="s">
        <v>161</v>
      </c>
      <c r="AM10" t="s">
        <v>78</v>
      </c>
      <c r="AN10" t="b">
        <v>0</v>
      </c>
      <c r="AO10">
        <v>1020</v>
      </c>
      <c r="AP10" t="s">
        <v>65</v>
      </c>
      <c r="AQ10" t="b">
        <v>1</v>
      </c>
      <c r="AR10">
        <v>0</v>
      </c>
      <c r="AS10">
        <v>0</v>
      </c>
      <c r="AT10">
        <v>0</v>
      </c>
      <c r="AU10">
        <v>0</v>
      </c>
      <c r="AV10">
        <v>0</v>
      </c>
      <c r="AW10" t="b">
        <v>0</v>
      </c>
      <c r="AX10" t="b">
        <v>0</v>
      </c>
      <c r="AY10" t="s">
        <v>79</v>
      </c>
      <c r="AZ10" t="b">
        <v>0</v>
      </c>
      <c r="BA10" t="s">
        <v>162</v>
      </c>
      <c r="BB10" t="s">
        <v>163</v>
      </c>
      <c r="BC10" t="s">
        <v>164</v>
      </c>
      <c r="BD10" t="b">
        <v>0</v>
      </c>
      <c r="BE10">
        <v>2</v>
      </c>
      <c r="BF10" t="b">
        <v>0</v>
      </c>
    </row>
    <row r="11" spans="1:58" x14ac:dyDescent="0.25">
      <c r="A11">
        <v>3.7</v>
      </c>
      <c r="B11">
        <v>6800</v>
      </c>
      <c r="C11" t="s">
        <v>165</v>
      </c>
      <c r="D11" t="s">
        <v>166</v>
      </c>
      <c r="E11">
        <v>0.92569444444444449</v>
      </c>
      <c r="G11">
        <v>1</v>
      </c>
      <c r="H11">
        <v>2639</v>
      </c>
      <c r="K11" t="b">
        <v>0</v>
      </c>
      <c r="M11">
        <v>19934</v>
      </c>
      <c r="N11" t="s">
        <v>167</v>
      </c>
      <c r="O11">
        <v>1787316218988</v>
      </c>
      <c r="P11" t="s">
        <v>65</v>
      </c>
      <c r="S11" t="s">
        <v>168</v>
      </c>
      <c r="T11" t="s">
        <v>67</v>
      </c>
      <c r="U11" t="s">
        <v>169</v>
      </c>
      <c r="V11">
        <v>21746</v>
      </c>
      <c r="W11" t="b">
        <v>0</v>
      </c>
      <c r="X11">
        <v>0</v>
      </c>
      <c r="Y11" t="s">
        <v>170</v>
      </c>
      <c r="Z11" t="b">
        <v>1</v>
      </c>
      <c r="AA11" t="s">
        <v>171</v>
      </c>
      <c r="AB11">
        <v>210826932923</v>
      </c>
      <c r="AC11" t="s">
        <v>172</v>
      </c>
      <c r="AD11" t="s">
        <v>172</v>
      </c>
      <c r="AE11">
        <v>13</v>
      </c>
      <c r="AF11">
        <v>8</v>
      </c>
      <c r="AG11" t="s">
        <v>91</v>
      </c>
      <c r="AH11" t="s">
        <v>168</v>
      </c>
      <c r="AI11" t="s">
        <v>74</v>
      </c>
      <c r="AJ11" t="s">
        <v>75</v>
      </c>
      <c r="AK11" t="s">
        <v>76</v>
      </c>
      <c r="AL11" t="s">
        <v>135</v>
      </c>
      <c r="AM11" t="s">
        <v>78</v>
      </c>
      <c r="AN11" t="b">
        <v>0</v>
      </c>
      <c r="AO11">
        <v>1028</v>
      </c>
      <c r="AP11" t="s">
        <v>65</v>
      </c>
      <c r="AQ11" t="b">
        <v>1</v>
      </c>
      <c r="AR11">
        <v>0</v>
      </c>
      <c r="AS11">
        <v>0</v>
      </c>
      <c r="AT11">
        <v>0</v>
      </c>
      <c r="AU11">
        <v>0</v>
      </c>
      <c r="AV11">
        <v>0</v>
      </c>
      <c r="AW11" t="b">
        <v>0</v>
      </c>
      <c r="AX11" t="b">
        <v>0</v>
      </c>
      <c r="AY11" t="s">
        <v>79</v>
      </c>
      <c r="AZ11" t="b">
        <v>0</v>
      </c>
      <c r="BA11" t="s">
        <v>173</v>
      </c>
      <c r="BB11" t="s">
        <v>174</v>
      </c>
      <c r="BC11" t="s">
        <v>175</v>
      </c>
      <c r="BD11" t="b">
        <v>0</v>
      </c>
      <c r="BF11" t="b">
        <v>0</v>
      </c>
    </row>
    <row r="12" spans="1:58" x14ac:dyDescent="0.25">
      <c r="A12">
        <v>3.8</v>
      </c>
      <c r="B12">
        <v>6281</v>
      </c>
      <c r="C12" t="s">
        <v>176</v>
      </c>
      <c r="D12" t="s">
        <v>177</v>
      </c>
      <c r="E12">
        <v>0.90138888888888891</v>
      </c>
      <c r="F12" t="s">
        <v>178</v>
      </c>
      <c r="G12">
        <v>1</v>
      </c>
      <c r="H12">
        <v>15127</v>
      </c>
      <c r="K12" t="b">
        <v>1</v>
      </c>
      <c r="L12" t="s">
        <v>179</v>
      </c>
      <c r="M12">
        <v>1369478</v>
      </c>
      <c r="N12" t="s">
        <v>180</v>
      </c>
      <c r="O12">
        <v>1766146126000</v>
      </c>
      <c r="P12" t="s">
        <v>65</v>
      </c>
      <c r="S12" t="s">
        <v>181</v>
      </c>
      <c r="T12" t="s">
        <v>67</v>
      </c>
      <c r="U12" t="s">
        <v>68</v>
      </c>
      <c r="V12">
        <v>164080</v>
      </c>
      <c r="W12" t="b">
        <v>0</v>
      </c>
      <c r="X12">
        <v>0</v>
      </c>
      <c r="Y12" t="s">
        <v>182</v>
      </c>
      <c r="Z12" t="b">
        <v>0</v>
      </c>
      <c r="AA12" t="s">
        <v>183</v>
      </c>
      <c r="AB12">
        <v>191225503735</v>
      </c>
      <c r="AC12" t="s">
        <v>184</v>
      </c>
      <c r="AD12" t="s">
        <v>184</v>
      </c>
      <c r="AE12">
        <v>7</v>
      </c>
      <c r="AF12">
        <v>3</v>
      </c>
      <c r="AG12" t="s">
        <v>73</v>
      </c>
      <c r="AH12" t="s">
        <v>181</v>
      </c>
      <c r="AI12" t="s">
        <v>74</v>
      </c>
      <c r="AJ12" t="s">
        <v>75</v>
      </c>
      <c r="AK12" t="s">
        <v>76</v>
      </c>
      <c r="AL12" t="s">
        <v>135</v>
      </c>
      <c r="AM12" t="s">
        <v>78</v>
      </c>
      <c r="AN12" t="b">
        <v>0</v>
      </c>
      <c r="AO12">
        <v>1019</v>
      </c>
      <c r="AP12" t="s">
        <v>65</v>
      </c>
      <c r="AQ12" t="b">
        <v>1</v>
      </c>
      <c r="AR12">
        <v>0</v>
      </c>
      <c r="AS12">
        <v>0</v>
      </c>
      <c r="AT12">
        <v>0</v>
      </c>
      <c r="AU12">
        <v>0</v>
      </c>
      <c r="AV12">
        <v>0</v>
      </c>
      <c r="AW12" t="b">
        <v>0</v>
      </c>
      <c r="AX12" t="b">
        <v>0</v>
      </c>
      <c r="AY12" t="s">
        <v>79</v>
      </c>
      <c r="AZ12" t="b">
        <v>0</v>
      </c>
      <c r="BA12" t="s">
        <v>185</v>
      </c>
      <c r="BB12" t="s">
        <v>186</v>
      </c>
      <c r="BC12" t="s">
        <v>187</v>
      </c>
      <c r="BD12" t="b">
        <v>0</v>
      </c>
      <c r="BF12" t="b">
        <v>0</v>
      </c>
    </row>
    <row r="13" spans="1:58" x14ac:dyDescent="0.25">
      <c r="A13">
        <v>3.4</v>
      </c>
      <c r="B13">
        <v>47884</v>
      </c>
      <c r="C13" t="s">
        <v>83</v>
      </c>
      <c r="D13" t="s">
        <v>84</v>
      </c>
      <c r="E13">
        <v>0.62777777777777777</v>
      </c>
      <c r="G13">
        <v>1</v>
      </c>
      <c r="H13">
        <v>3730</v>
      </c>
      <c r="K13" t="b">
        <v>0</v>
      </c>
      <c r="M13">
        <v>2904476</v>
      </c>
      <c r="N13" t="s">
        <v>85</v>
      </c>
      <c r="O13">
        <v>1787808879920</v>
      </c>
      <c r="P13" t="s">
        <v>65</v>
      </c>
      <c r="S13" t="s">
        <v>86</v>
      </c>
      <c r="T13" t="s">
        <v>67</v>
      </c>
      <c r="U13" t="s">
        <v>87</v>
      </c>
      <c r="V13">
        <v>194354</v>
      </c>
      <c r="W13" t="b">
        <v>0</v>
      </c>
      <c r="X13">
        <v>0</v>
      </c>
      <c r="Y13" t="s">
        <v>88</v>
      </c>
      <c r="Z13" t="b">
        <v>1</v>
      </c>
      <c r="AA13" t="s">
        <v>89</v>
      </c>
      <c r="AB13">
        <v>270826010477</v>
      </c>
      <c r="AC13" t="s">
        <v>90</v>
      </c>
      <c r="AD13" t="s">
        <v>90</v>
      </c>
      <c r="AE13">
        <v>7</v>
      </c>
      <c r="AF13">
        <v>4</v>
      </c>
      <c r="AG13" t="s">
        <v>91</v>
      </c>
      <c r="AH13" t="s">
        <v>86</v>
      </c>
      <c r="AI13" t="s">
        <v>74</v>
      </c>
      <c r="AJ13" t="s">
        <v>75</v>
      </c>
      <c r="AK13" t="s">
        <v>76</v>
      </c>
      <c r="AL13" t="s">
        <v>92</v>
      </c>
      <c r="AM13" t="s">
        <v>78</v>
      </c>
      <c r="AN13" t="b">
        <v>1</v>
      </c>
      <c r="AO13">
        <v>1020</v>
      </c>
      <c r="AP13" t="s">
        <v>65</v>
      </c>
      <c r="AQ13" t="b">
        <v>1</v>
      </c>
      <c r="AR13">
        <v>0</v>
      </c>
      <c r="AS13">
        <v>0</v>
      </c>
      <c r="AT13">
        <v>0</v>
      </c>
      <c r="AU13">
        <v>0</v>
      </c>
      <c r="AV13">
        <v>0</v>
      </c>
      <c r="AW13" t="b">
        <v>0</v>
      </c>
      <c r="AX13" t="b">
        <v>0</v>
      </c>
      <c r="AY13" t="s">
        <v>79</v>
      </c>
      <c r="AZ13" t="b">
        <v>0</v>
      </c>
      <c r="BA13" t="s">
        <v>93</v>
      </c>
      <c r="BB13" t="s">
        <v>94</v>
      </c>
      <c r="BC13" t="s">
        <v>82</v>
      </c>
      <c r="BD13" t="b">
        <v>0</v>
      </c>
      <c r="BF13" t="b">
        <v>0</v>
      </c>
    </row>
    <row r="14" spans="1:58" x14ac:dyDescent="0.25">
      <c r="A14">
        <v>3.3</v>
      </c>
      <c r="B14">
        <v>13397</v>
      </c>
      <c r="C14" t="s">
        <v>95</v>
      </c>
      <c r="D14" t="s">
        <v>96</v>
      </c>
      <c r="E14">
        <v>0.69722222222222219</v>
      </c>
      <c r="G14">
        <v>1</v>
      </c>
      <c r="K14" t="b">
        <v>0</v>
      </c>
      <c r="M14">
        <v>676499</v>
      </c>
      <c r="N14" t="s">
        <v>97</v>
      </c>
      <c r="O14">
        <v>1787728452770</v>
      </c>
      <c r="P14" t="s">
        <v>65</v>
      </c>
      <c r="S14" t="s">
        <v>98</v>
      </c>
      <c r="T14" t="s">
        <v>67</v>
      </c>
      <c r="U14" t="s">
        <v>99</v>
      </c>
      <c r="V14">
        <v>9246</v>
      </c>
      <c r="W14" t="b">
        <v>0</v>
      </c>
      <c r="X14">
        <v>0</v>
      </c>
      <c r="Y14" t="s">
        <v>100</v>
      </c>
      <c r="Z14" t="b">
        <v>1</v>
      </c>
      <c r="AA14" t="s">
        <v>101</v>
      </c>
      <c r="AB14">
        <v>260826016031</v>
      </c>
      <c r="AC14" t="s">
        <v>102</v>
      </c>
      <c r="AD14" t="s">
        <v>102</v>
      </c>
      <c r="AE14">
        <v>8</v>
      </c>
      <c r="AF14">
        <v>4</v>
      </c>
      <c r="AG14" t="s">
        <v>91</v>
      </c>
      <c r="AH14" t="s">
        <v>98</v>
      </c>
      <c r="AI14" t="s">
        <v>74</v>
      </c>
      <c r="AJ14" t="s">
        <v>75</v>
      </c>
      <c r="AK14" t="s">
        <v>76</v>
      </c>
      <c r="AL14" t="s">
        <v>103</v>
      </c>
      <c r="AM14" t="s">
        <v>78</v>
      </c>
      <c r="AN14" t="b">
        <v>1</v>
      </c>
      <c r="AO14">
        <v>1019</v>
      </c>
      <c r="AP14" t="s">
        <v>65</v>
      </c>
      <c r="AQ14" t="b">
        <v>1</v>
      </c>
      <c r="AR14">
        <v>0</v>
      </c>
      <c r="AS14">
        <v>0</v>
      </c>
      <c r="AT14">
        <v>0</v>
      </c>
      <c r="AU14">
        <v>0</v>
      </c>
      <c r="AV14">
        <v>0</v>
      </c>
      <c r="AW14" t="b">
        <v>0</v>
      </c>
      <c r="AX14" t="b">
        <v>0</v>
      </c>
      <c r="AY14" t="s">
        <v>79</v>
      </c>
      <c r="AZ14" t="b">
        <v>0</v>
      </c>
      <c r="BA14" t="s">
        <v>104</v>
      </c>
      <c r="BB14" t="s">
        <v>105</v>
      </c>
      <c r="BC14" t="s">
        <v>82</v>
      </c>
      <c r="BD14" t="b">
        <v>0</v>
      </c>
      <c r="BE14">
        <v>4</v>
      </c>
      <c r="BF14" t="b">
        <v>0</v>
      </c>
    </row>
    <row r="15" spans="1:58" x14ac:dyDescent="0.25">
      <c r="E15">
        <v>0.91874999999999996</v>
      </c>
      <c r="F15" t="s">
        <v>188</v>
      </c>
      <c r="G15">
        <v>1</v>
      </c>
      <c r="K15" t="b">
        <v>1</v>
      </c>
      <c r="L15" t="s">
        <v>189</v>
      </c>
      <c r="M15">
        <v>125076821</v>
      </c>
      <c r="N15" t="s">
        <v>190</v>
      </c>
      <c r="O15">
        <v>1783341207000</v>
      </c>
      <c r="P15" t="s">
        <v>65</v>
      </c>
      <c r="S15" t="s">
        <v>191</v>
      </c>
      <c r="T15" t="s">
        <v>67</v>
      </c>
      <c r="U15" t="s">
        <v>68</v>
      </c>
      <c r="V15">
        <v>7029887</v>
      </c>
      <c r="W15" t="b">
        <v>0</v>
      </c>
      <c r="X15">
        <v>0</v>
      </c>
      <c r="Y15" t="s">
        <v>192</v>
      </c>
      <c r="Z15" t="b">
        <v>0</v>
      </c>
      <c r="AA15" t="s">
        <v>193</v>
      </c>
      <c r="AB15" t="s">
        <v>194</v>
      </c>
      <c r="AC15" t="s">
        <v>195</v>
      </c>
      <c r="AD15" t="s">
        <v>195</v>
      </c>
      <c r="AE15">
        <v>10</v>
      </c>
      <c r="AF15">
        <v>5</v>
      </c>
      <c r="AG15" t="s">
        <v>73</v>
      </c>
      <c r="AH15" t="s">
        <v>191</v>
      </c>
      <c r="AI15" t="s">
        <v>74</v>
      </c>
      <c r="AJ15" t="s">
        <v>75</v>
      </c>
      <c r="AK15" t="s">
        <v>76</v>
      </c>
      <c r="AL15" t="s">
        <v>135</v>
      </c>
      <c r="AM15" t="s">
        <v>78</v>
      </c>
      <c r="AN15" t="b">
        <v>0</v>
      </c>
      <c r="AO15">
        <v>1019</v>
      </c>
      <c r="AP15" t="s">
        <v>65</v>
      </c>
      <c r="AQ15" t="b">
        <v>1</v>
      </c>
      <c r="AR15">
        <v>0</v>
      </c>
      <c r="AS15">
        <v>0</v>
      </c>
      <c r="AT15">
        <v>0</v>
      </c>
      <c r="AU15">
        <v>0</v>
      </c>
      <c r="AV15">
        <v>0</v>
      </c>
      <c r="AW15" t="b">
        <v>0</v>
      </c>
      <c r="AX15" t="b">
        <v>0</v>
      </c>
      <c r="AY15" t="s">
        <v>79</v>
      </c>
      <c r="AZ15" t="b">
        <v>0</v>
      </c>
      <c r="BA15" t="s">
        <v>196</v>
      </c>
      <c r="BB15" t="s">
        <v>197</v>
      </c>
      <c r="BC15" t="s">
        <v>198</v>
      </c>
      <c r="BD15" t="b">
        <v>0</v>
      </c>
      <c r="BF15" t="b">
        <v>0</v>
      </c>
    </row>
    <row r="16" spans="1:58" x14ac:dyDescent="0.25">
      <c r="A16">
        <v>3.9</v>
      </c>
      <c r="B16">
        <v>26716</v>
      </c>
      <c r="C16" t="s">
        <v>126</v>
      </c>
      <c r="D16" t="s">
        <v>127</v>
      </c>
      <c r="E16">
        <v>0.74861111111111112</v>
      </c>
      <c r="F16" t="s">
        <v>128</v>
      </c>
      <c r="G16">
        <v>1</v>
      </c>
      <c r="H16">
        <v>10201</v>
      </c>
      <c r="K16" t="b">
        <v>1</v>
      </c>
      <c r="L16" t="s">
        <v>129</v>
      </c>
      <c r="M16">
        <v>16987</v>
      </c>
      <c r="N16" t="s">
        <v>130</v>
      </c>
      <c r="O16">
        <v>1787819294543</v>
      </c>
      <c r="P16" t="s">
        <v>65</v>
      </c>
      <c r="S16" t="s">
        <v>131</v>
      </c>
      <c r="T16" t="s">
        <v>67</v>
      </c>
      <c r="U16" t="s">
        <v>87</v>
      </c>
      <c r="V16">
        <v>19288</v>
      </c>
      <c r="W16" t="b">
        <v>0</v>
      </c>
      <c r="X16">
        <v>0</v>
      </c>
      <c r="Y16" t="s">
        <v>132</v>
      </c>
      <c r="Z16" t="b">
        <v>0</v>
      </c>
      <c r="AA16" t="s">
        <v>133</v>
      </c>
      <c r="AB16">
        <v>270826917532</v>
      </c>
      <c r="AC16" t="s">
        <v>134</v>
      </c>
      <c r="AD16" t="s">
        <v>134</v>
      </c>
      <c r="AE16">
        <v>8</v>
      </c>
      <c r="AF16">
        <v>6</v>
      </c>
      <c r="AG16" t="s">
        <v>91</v>
      </c>
      <c r="AH16" t="s">
        <v>131</v>
      </c>
      <c r="AI16" t="s">
        <v>74</v>
      </c>
      <c r="AJ16" t="s">
        <v>75</v>
      </c>
      <c r="AK16" t="s">
        <v>76</v>
      </c>
      <c r="AL16" t="s">
        <v>135</v>
      </c>
      <c r="AM16" t="s">
        <v>78</v>
      </c>
      <c r="AN16" t="b">
        <v>0</v>
      </c>
      <c r="AO16">
        <v>1019</v>
      </c>
      <c r="AP16" t="s">
        <v>65</v>
      </c>
      <c r="AQ16" t="b">
        <v>1</v>
      </c>
      <c r="AR16">
        <v>0</v>
      </c>
      <c r="AS16">
        <v>0</v>
      </c>
      <c r="AT16">
        <v>0</v>
      </c>
      <c r="AU16">
        <v>0</v>
      </c>
      <c r="AV16">
        <v>0</v>
      </c>
      <c r="AW16" t="b">
        <v>0</v>
      </c>
      <c r="AX16" t="b">
        <v>0</v>
      </c>
      <c r="AY16" t="s">
        <v>79</v>
      </c>
      <c r="AZ16" t="b">
        <v>0</v>
      </c>
      <c r="BA16" t="s">
        <v>136</v>
      </c>
      <c r="BB16" t="s">
        <v>137</v>
      </c>
      <c r="BC16" t="s">
        <v>138</v>
      </c>
      <c r="BD16" t="b">
        <v>0</v>
      </c>
      <c r="BF16" t="b">
        <v>0</v>
      </c>
    </row>
    <row r="17" spans="1:58" x14ac:dyDescent="0.25">
      <c r="A17">
        <v>3.9</v>
      </c>
      <c r="B17">
        <v>26716</v>
      </c>
      <c r="C17" t="s">
        <v>126</v>
      </c>
      <c r="D17" t="s">
        <v>127</v>
      </c>
      <c r="E17">
        <v>0.5805555555555556</v>
      </c>
      <c r="F17" t="s">
        <v>139</v>
      </c>
      <c r="G17">
        <v>1</v>
      </c>
      <c r="H17">
        <v>10201</v>
      </c>
      <c r="K17" t="b">
        <v>1</v>
      </c>
      <c r="L17" t="s">
        <v>140</v>
      </c>
      <c r="M17">
        <v>16987</v>
      </c>
      <c r="N17" t="s">
        <v>130</v>
      </c>
      <c r="O17">
        <v>1787718372586</v>
      </c>
      <c r="P17" t="s">
        <v>65</v>
      </c>
      <c r="S17" t="s">
        <v>118</v>
      </c>
      <c r="T17" t="s">
        <v>67</v>
      </c>
      <c r="U17" t="s">
        <v>99</v>
      </c>
      <c r="V17">
        <v>19288</v>
      </c>
      <c r="W17" t="b">
        <v>0</v>
      </c>
      <c r="X17">
        <v>0</v>
      </c>
      <c r="Y17" t="s">
        <v>141</v>
      </c>
      <c r="Z17" t="b">
        <v>0</v>
      </c>
      <c r="AA17" t="s">
        <v>142</v>
      </c>
      <c r="AB17">
        <v>260826909019</v>
      </c>
      <c r="AC17" t="s">
        <v>134</v>
      </c>
      <c r="AD17" t="s">
        <v>134</v>
      </c>
      <c r="AE17">
        <v>10</v>
      </c>
      <c r="AF17">
        <v>8</v>
      </c>
      <c r="AG17" t="s">
        <v>91</v>
      </c>
      <c r="AH17" t="s">
        <v>118</v>
      </c>
      <c r="AI17" t="s">
        <v>74</v>
      </c>
      <c r="AJ17" t="s">
        <v>75</v>
      </c>
      <c r="AK17" t="s">
        <v>76</v>
      </c>
      <c r="AL17" t="s">
        <v>135</v>
      </c>
      <c r="AM17" t="s">
        <v>78</v>
      </c>
      <c r="AN17" t="b">
        <v>0</v>
      </c>
      <c r="AO17">
        <v>1019</v>
      </c>
      <c r="AP17" t="s">
        <v>65</v>
      </c>
      <c r="AQ17" t="b">
        <v>1</v>
      </c>
      <c r="AR17">
        <v>0</v>
      </c>
      <c r="AS17">
        <v>0</v>
      </c>
      <c r="AT17">
        <v>0</v>
      </c>
      <c r="AU17">
        <v>0</v>
      </c>
      <c r="AV17">
        <v>0</v>
      </c>
      <c r="AW17" t="b">
        <v>0</v>
      </c>
      <c r="AX17" t="b">
        <v>0</v>
      </c>
      <c r="AY17" t="s">
        <v>79</v>
      </c>
      <c r="AZ17" t="b">
        <v>0</v>
      </c>
      <c r="BA17" t="s">
        <v>136</v>
      </c>
      <c r="BB17" t="s">
        <v>143</v>
      </c>
      <c r="BC17" t="s">
        <v>138</v>
      </c>
      <c r="BD17" t="b">
        <v>0</v>
      </c>
      <c r="BF17" t="b">
        <v>0</v>
      </c>
    </row>
    <row r="18" spans="1:58" x14ac:dyDescent="0.25">
      <c r="A18">
        <v>3.9</v>
      </c>
      <c r="B18">
        <v>26716</v>
      </c>
      <c r="C18" t="s">
        <v>126</v>
      </c>
      <c r="D18" t="s">
        <v>127</v>
      </c>
      <c r="E18">
        <v>0.79583333333333328</v>
      </c>
      <c r="F18" t="s">
        <v>199</v>
      </c>
      <c r="G18">
        <v>1</v>
      </c>
      <c r="H18">
        <v>10201</v>
      </c>
      <c r="K18" t="b">
        <v>1</v>
      </c>
      <c r="L18" t="s">
        <v>200</v>
      </c>
      <c r="M18">
        <v>16987</v>
      </c>
      <c r="N18" t="s">
        <v>130</v>
      </c>
      <c r="O18">
        <v>1787218594529</v>
      </c>
      <c r="P18" t="s">
        <v>65</v>
      </c>
      <c r="S18" t="s">
        <v>191</v>
      </c>
      <c r="T18" t="s">
        <v>67</v>
      </c>
      <c r="U18" t="s">
        <v>201</v>
      </c>
      <c r="V18">
        <v>19288</v>
      </c>
      <c r="W18" t="b">
        <v>0</v>
      </c>
      <c r="X18">
        <v>0</v>
      </c>
      <c r="Y18" t="s">
        <v>202</v>
      </c>
      <c r="Z18" t="b">
        <v>0</v>
      </c>
      <c r="AA18" t="s">
        <v>203</v>
      </c>
      <c r="AB18">
        <v>200826923685</v>
      </c>
      <c r="AC18" t="s">
        <v>134</v>
      </c>
      <c r="AD18" t="s">
        <v>134</v>
      </c>
      <c r="AE18">
        <v>10</v>
      </c>
      <c r="AF18">
        <v>5</v>
      </c>
      <c r="AG18" t="s">
        <v>91</v>
      </c>
      <c r="AH18" t="s">
        <v>191</v>
      </c>
      <c r="AI18" t="s">
        <v>74</v>
      </c>
      <c r="AJ18" t="s">
        <v>75</v>
      </c>
      <c r="AK18" t="s">
        <v>76</v>
      </c>
      <c r="AL18" t="s">
        <v>135</v>
      </c>
      <c r="AM18" t="s">
        <v>78</v>
      </c>
      <c r="AN18" t="b">
        <v>0</v>
      </c>
      <c r="AO18">
        <v>1019</v>
      </c>
      <c r="AP18" t="s">
        <v>65</v>
      </c>
      <c r="AQ18" t="b">
        <v>1</v>
      </c>
      <c r="AR18">
        <v>0</v>
      </c>
      <c r="AS18">
        <v>0</v>
      </c>
      <c r="AT18">
        <v>0</v>
      </c>
      <c r="AU18">
        <v>0</v>
      </c>
      <c r="AV18">
        <v>0</v>
      </c>
      <c r="AW18" t="b">
        <v>0</v>
      </c>
      <c r="AX18" t="b">
        <v>0</v>
      </c>
      <c r="AY18" t="s">
        <v>79</v>
      </c>
      <c r="AZ18" t="b">
        <v>0</v>
      </c>
      <c r="BA18" t="s">
        <v>136</v>
      </c>
      <c r="BB18" t="s">
        <v>204</v>
      </c>
      <c r="BC18" t="s">
        <v>138</v>
      </c>
      <c r="BD18" t="b">
        <v>0</v>
      </c>
      <c r="BF18" t="b">
        <v>0</v>
      </c>
    </row>
    <row r="19" spans="1:58" x14ac:dyDescent="0.25">
      <c r="A19">
        <v>3.2</v>
      </c>
      <c r="B19">
        <v>118481</v>
      </c>
      <c r="C19" t="s">
        <v>144</v>
      </c>
      <c r="D19" t="s">
        <v>145</v>
      </c>
      <c r="E19">
        <v>0.8208333333333333</v>
      </c>
      <c r="G19">
        <v>1</v>
      </c>
      <c r="H19">
        <v>2949</v>
      </c>
      <c r="K19" t="b">
        <v>0</v>
      </c>
      <c r="M19">
        <v>892542</v>
      </c>
      <c r="N19" t="s">
        <v>146</v>
      </c>
      <c r="O19">
        <v>1787911934859</v>
      </c>
      <c r="P19" t="s">
        <v>65</v>
      </c>
      <c r="S19" t="s">
        <v>147</v>
      </c>
      <c r="T19" t="s">
        <v>67</v>
      </c>
      <c r="U19" t="s">
        <v>119</v>
      </c>
      <c r="V19">
        <v>223346</v>
      </c>
      <c r="W19" t="b">
        <v>0</v>
      </c>
      <c r="X19">
        <v>0</v>
      </c>
      <c r="Y19" t="s">
        <v>148</v>
      </c>
      <c r="Z19" t="b">
        <v>1</v>
      </c>
      <c r="AA19" t="s">
        <v>149</v>
      </c>
      <c r="AB19">
        <v>280826008430</v>
      </c>
      <c r="AC19" t="s">
        <v>150</v>
      </c>
      <c r="AD19" t="s">
        <v>150</v>
      </c>
      <c r="AE19">
        <v>10</v>
      </c>
      <c r="AF19">
        <v>6</v>
      </c>
      <c r="AG19" t="s">
        <v>91</v>
      </c>
      <c r="AH19" t="s">
        <v>147</v>
      </c>
      <c r="AI19" t="s">
        <v>74</v>
      </c>
      <c r="AJ19" t="s">
        <v>75</v>
      </c>
      <c r="AK19" t="s">
        <v>76</v>
      </c>
      <c r="AL19" t="s">
        <v>151</v>
      </c>
      <c r="AM19" t="s">
        <v>78</v>
      </c>
      <c r="AN19" t="b">
        <v>0</v>
      </c>
      <c r="AO19">
        <v>1019</v>
      </c>
      <c r="AP19" t="s">
        <v>65</v>
      </c>
      <c r="AQ19" t="b">
        <v>1</v>
      </c>
      <c r="AR19">
        <v>0</v>
      </c>
      <c r="AS19">
        <v>0</v>
      </c>
      <c r="AT19">
        <v>0</v>
      </c>
      <c r="AU19">
        <v>0</v>
      </c>
      <c r="AV19">
        <v>0</v>
      </c>
      <c r="AW19" t="b">
        <v>0</v>
      </c>
      <c r="AX19" t="b">
        <v>0</v>
      </c>
      <c r="AY19" t="s">
        <v>79</v>
      </c>
      <c r="AZ19" t="b">
        <v>0</v>
      </c>
      <c r="BA19" t="s">
        <v>152</v>
      </c>
      <c r="BB19" t="s">
        <v>153</v>
      </c>
      <c r="BC19" t="s">
        <v>82</v>
      </c>
      <c r="BD19" t="b">
        <v>0</v>
      </c>
      <c r="BF19" t="b">
        <v>0</v>
      </c>
    </row>
    <row r="20" spans="1:58" x14ac:dyDescent="0.25">
      <c r="A20">
        <v>3.7</v>
      </c>
      <c r="B20">
        <v>6800</v>
      </c>
      <c r="C20" t="s">
        <v>165</v>
      </c>
      <c r="D20" t="s">
        <v>166</v>
      </c>
      <c r="E20">
        <v>0.92569444444444449</v>
      </c>
      <c r="G20">
        <v>1</v>
      </c>
      <c r="H20">
        <v>2639</v>
      </c>
      <c r="K20" t="b">
        <v>0</v>
      </c>
      <c r="M20">
        <v>19934</v>
      </c>
      <c r="N20" t="s">
        <v>167</v>
      </c>
      <c r="O20">
        <v>1787316218988</v>
      </c>
      <c r="P20" t="s">
        <v>65</v>
      </c>
      <c r="S20" t="s">
        <v>168</v>
      </c>
      <c r="T20" t="s">
        <v>67</v>
      </c>
      <c r="U20" t="s">
        <v>169</v>
      </c>
      <c r="V20">
        <v>21746</v>
      </c>
      <c r="W20" t="b">
        <v>0</v>
      </c>
      <c r="X20">
        <v>0</v>
      </c>
      <c r="Y20" t="s">
        <v>170</v>
      </c>
      <c r="Z20" t="b">
        <v>1</v>
      </c>
      <c r="AA20" t="s">
        <v>171</v>
      </c>
      <c r="AB20">
        <v>210826932923</v>
      </c>
      <c r="AC20" t="s">
        <v>172</v>
      </c>
      <c r="AD20" t="s">
        <v>172</v>
      </c>
      <c r="AE20">
        <v>13</v>
      </c>
      <c r="AF20">
        <v>8</v>
      </c>
      <c r="AG20" t="s">
        <v>91</v>
      </c>
      <c r="AH20" t="s">
        <v>168</v>
      </c>
      <c r="AI20" t="s">
        <v>74</v>
      </c>
      <c r="AJ20" t="s">
        <v>75</v>
      </c>
      <c r="AK20" t="s">
        <v>76</v>
      </c>
      <c r="AL20" t="s">
        <v>135</v>
      </c>
      <c r="AM20" t="s">
        <v>78</v>
      </c>
      <c r="AN20" t="b">
        <v>0</v>
      </c>
      <c r="AO20">
        <v>1028</v>
      </c>
      <c r="AP20" t="s">
        <v>65</v>
      </c>
      <c r="AQ20" t="b">
        <v>1</v>
      </c>
      <c r="AR20">
        <v>0</v>
      </c>
      <c r="AS20">
        <v>0</v>
      </c>
      <c r="AT20">
        <v>0</v>
      </c>
      <c r="AU20">
        <v>0</v>
      </c>
      <c r="AV20">
        <v>0</v>
      </c>
      <c r="AW20" t="b">
        <v>0</v>
      </c>
      <c r="AX20" t="b">
        <v>0</v>
      </c>
      <c r="AY20" t="s">
        <v>79</v>
      </c>
      <c r="AZ20" t="b">
        <v>0</v>
      </c>
      <c r="BA20" t="s">
        <v>173</v>
      </c>
      <c r="BB20" t="s">
        <v>174</v>
      </c>
      <c r="BC20" t="s">
        <v>175</v>
      </c>
      <c r="BD20" t="b">
        <v>0</v>
      </c>
      <c r="BF20" t="b">
        <v>0</v>
      </c>
    </row>
    <row r="21" spans="1:58" x14ac:dyDescent="0.25">
      <c r="A21">
        <v>3.5</v>
      </c>
      <c r="B21">
        <v>50684</v>
      </c>
      <c r="C21" t="s">
        <v>205</v>
      </c>
      <c r="D21" t="s">
        <v>206</v>
      </c>
      <c r="E21">
        <v>0.90694444444444444</v>
      </c>
      <c r="G21">
        <v>1</v>
      </c>
      <c r="I21">
        <v>1</v>
      </c>
      <c r="J21" t="s">
        <v>207</v>
      </c>
      <c r="K21" t="b">
        <v>0</v>
      </c>
      <c r="M21">
        <v>124269780</v>
      </c>
      <c r="N21" t="s">
        <v>208</v>
      </c>
      <c r="O21">
        <v>1787573805796</v>
      </c>
      <c r="P21" t="s">
        <v>65</v>
      </c>
      <c r="Q21" t="s">
        <v>209</v>
      </c>
      <c r="R21" t="b">
        <v>0</v>
      </c>
      <c r="S21" t="s">
        <v>210</v>
      </c>
      <c r="T21" t="s">
        <v>67</v>
      </c>
      <c r="U21" t="s">
        <v>211</v>
      </c>
      <c r="V21">
        <v>13832</v>
      </c>
      <c r="W21" t="b">
        <v>0</v>
      </c>
      <c r="X21">
        <v>0</v>
      </c>
      <c r="Y21" t="s">
        <v>212</v>
      </c>
      <c r="Z21" t="b">
        <v>0</v>
      </c>
      <c r="AA21" t="s">
        <v>213</v>
      </c>
      <c r="AB21">
        <v>170826004896</v>
      </c>
      <c r="AC21" t="s">
        <v>214</v>
      </c>
      <c r="AD21" t="s">
        <v>214</v>
      </c>
      <c r="AE21">
        <v>8</v>
      </c>
      <c r="AF21">
        <v>5</v>
      </c>
      <c r="AG21" t="s">
        <v>91</v>
      </c>
      <c r="AH21" t="s">
        <v>210</v>
      </c>
      <c r="AI21" t="s">
        <v>74</v>
      </c>
      <c r="AJ21" t="s">
        <v>75</v>
      </c>
      <c r="AK21" t="s">
        <v>76</v>
      </c>
      <c r="AL21" t="s">
        <v>215</v>
      </c>
      <c r="AM21" t="s">
        <v>78</v>
      </c>
      <c r="AN21" t="b">
        <v>1</v>
      </c>
      <c r="AO21">
        <v>1028</v>
      </c>
      <c r="AP21" t="s">
        <v>65</v>
      </c>
      <c r="AQ21" t="b">
        <v>1</v>
      </c>
      <c r="AR21">
        <v>0</v>
      </c>
      <c r="AS21">
        <v>0</v>
      </c>
      <c r="AT21">
        <v>0</v>
      </c>
      <c r="AU21">
        <v>0</v>
      </c>
      <c r="AV21">
        <v>0</v>
      </c>
      <c r="AW21" t="b">
        <v>0</v>
      </c>
      <c r="AX21" t="b">
        <v>0</v>
      </c>
      <c r="AY21" t="s">
        <v>79</v>
      </c>
      <c r="AZ21" t="b">
        <v>0</v>
      </c>
      <c r="BA21" t="s">
        <v>216</v>
      </c>
      <c r="BB21" t="s">
        <v>217</v>
      </c>
      <c r="BC21" t="s">
        <v>218</v>
      </c>
      <c r="BD21" t="b">
        <v>0</v>
      </c>
      <c r="BE21">
        <v>1000</v>
      </c>
      <c r="BF21" t="b">
        <v>0</v>
      </c>
    </row>
    <row r="22" spans="1:58" x14ac:dyDescent="0.25">
      <c r="A22">
        <v>3.8</v>
      </c>
      <c r="B22">
        <v>6281</v>
      </c>
      <c r="C22" t="s">
        <v>176</v>
      </c>
      <c r="D22" t="s">
        <v>177</v>
      </c>
      <c r="E22">
        <v>0.90138888888888891</v>
      </c>
      <c r="F22" t="s">
        <v>178</v>
      </c>
      <c r="G22">
        <v>1</v>
      </c>
      <c r="H22">
        <v>15127</v>
      </c>
      <c r="K22" t="b">
        <v>1</v>
      </c>
      <c r="L22" t="s">
        <v>179</v>
      </c>
      <c r="M22">
        <v>1369478</v>
      </c>
      <c r="N22" t="s">
        <v>180</v>
      </c>
      <c r="O22">
        <v>1766146126000</v>
      </c>
      <c r="P22" t="s">
        <v>65</v>
      </c>
      <c r="S22" t="s">
        <v>181</v>
      </c>
      <c r="T22" t="s">
        <v>67</v>
      </c>
      <c r="U22" t="s">
        <v>68</v>
      </c>
      <c r="V22">
        <v>164080</v>
      </c>
      <c r="W22" t="b">
        <v>0</v>
      </c>
      <c r="X22">
        <v>0</v>
      </c>
      <c r="Y22" t="s">
        <v>182</v>
      </c>
      <c r="Z22" t="b">
        <v>0</v>
      </c>
      <c r="AA22" t="s">
        <v>183</v>
      </c>
      <c r="AB22">
        <v>191225503735</v>
      </c>
      <c r="AC22" t="s">
        <v>184</v>
      </c>
      <c r="AD22" t="s">
        <v>184</v>
      </c>
      <c r="AE22">
        <v>7</v>
      </c>
      <c r="AF22">
        <v>3</v>
      </c>
      <c r="AG22" t="s">
        <v>73</v>
      </c>
      <c r="AH22" t="s">
        <v>181</v>
      </c>
      <c r="AI22" t="s">
        <v>74</v>
      </c>
      <c r="AJ22" t="s">
        <v>75</v>
      </c>
      <c r="AK22" t="s">
        <v>76</v>
      </c>
      <c r="AL22" t="s">
        <v>135</v>
      </c>
      <c r="AM22" t="s">
        <v>78</v>
      </c>
      <c r="AN22" t="b">
        <v>0</v>
      </c>
      <c r="AO22">
        <v>1019</v>
      </c>
      <c r="AP22" t="s">
        <v>65</v>
      </c>
      <c r="AQ22" t="b">
        <v>1</v>
      </c>
      <c r="AR22">
        <v>0</v>
      </c>
      <c r="AS22">
        <v>0</v>
      </c>
      <c r="AT22">
        <v>0</v>
      </c>
      <c r="AU22">
        <v>0</v>
      </c>
      <c r="AV22">
        <v>0</v>
      </c>
      <c r="AW22" t="b">
        <v>0</v>
      </c>
      <c r="AX22" t="b">
        <v>0</v>
      </c>
      <c r="AY22" t="s">
        <v>79</v>
      </c>
      <c r="AZ22" t="b">
        <v>0</v>
      </c>
      <c r="BA22" t="s">
        <v>185</v>
      </c>
      <c r="BB22" t="s">
        <v>186</v>
      </c>
      <c r="BC22" t="s">
        <v>187</v>
      </c>
      <c r="BD22" t="b">
        <v>0</v>
      </c>
      <c r="BF22" t="b">
        <v>0</v>
      </c>
    </row>
    <row r="23" spans="1:58" x14ac:dyDescent="0.25">
      <c r="A23">
        <v>3.4</v>
      </c>
      <c r="B23">
        <v>47884</v>
      </c>
      <c r="C23" t="s">
        <v>83</v>
      </c>
      <c r="D23" t="s">
        <v>84</v>
      </c>
      <c r="E23">
        <v>0.62777777777777777</v>
      </c>
      <c r="G23">
        <v>1</v>
      </c>
      <c r="H23">
        <v>3730</v>
      </c>
      <c r="K23" t="b">
        <v>0</v>
      </c>
      <c r="M23">
        <v>2904476</v>
      </c>
      <c r="N23" t="s">
        <v>85</v>
      </c>
      <c r="O23">
        <v>1787808879920</v>
      </c>
      <c r="P23" t="s">
        <v>65</v>
      </c>
      <c r="S23" t="s">
        <v>86</v>
      </c>
      <c r="T23" t="s">
        <v>67</v>
      </c>
      <c r="U23" t="s">
        <v>87</v>
      </c>
      <c r="V23">
        <v>194354</v>
      </c>
      <c r="W23" t="b">
        <v>0</v>
      </c>
      <c r="X23">
        <v>0</v>
      </c>
      <c r="Y23" t="s">
        <v>88</v>
      </c>
      <c r="Z23" t="b">
        <v>1</v>
      </c>
      <c r="AA23" t="s">
        <v>89</v>
      </c>
      <c r="AB23">
        <v>270826010477</v>
      </c>
      <c r="AC23" t="s">
        <v>90</v>
      </c>
      <c r="AD23" t="s">
        <v>90</v>
      </c>
      <c r="AE23">
        <v>7</v>
      </c>
      <c r="AF23">
        <v>4</v>
      </c>
      <c r="AG23" t="s">
        <v>91</v>
      </c>
      <c r="AH23" t="s">
        <v>86</v>
      </c>
      <c r="AI23" t="s">
        <v>74</v>
      </c>
      <c r="AJ23" t="s">
        <v>75</v>
      </c>
      <c r="AK23" t="s">
        <v>76</v>
      </c>
      <c r="AL23" t="s">
        <v>92</v>
      </c>
      <c r="AM23" t="s">
        <v>78</v>
      </c>
      <c r="AN23" t="b">
        <v>1</v>
      </c>
      <c r="AO23">
        <v>1020</v>
      </c>
      <c r="AP23" t="s">
        <v>65</v>
      </c>
      <c r="AQ23" t="b">
        <v>1</v>
      </c>
      <c r="AR23">
        <v>0</v>
      </c>
      <c r="AS23">
        <v>0</v>
      </c>
      <c r="AT23">
        <v>0</v>
      </c>
      <c r="AU23">
        <v>0</v>
      </c>
      <c r="AV23">
        <v>0</v>
      </c>
      <c r="AW23" t="b">
        <v>0</v>
      </c>
      <c r="AX23" t="b">
        <v>0</v>
      </c>
      <c r="AY23" t="s">
        <v>79</v>
      </c>
      <c r="AZ23" t="b">
        <v>0</v>
      </c>
      <c r="BA23" t="s">
        <v>93</v>
      </c>
      <c r="BB23" t="s">
        <v>94</v>
      </c>
      <c r="BC23" t="s">
        <v>82</v>
      </c>
      <c r="BD23" t="b">
        <v>0</v>
      </c>
      <c r="BF23" t="b">
        <v>0</v>
      </c>
    </row>
    <row r="24" spans="1:58" x14ac:dyDescent="0.25">
      <c r="A24">
        <v>3.3</v>
      </c>
      <c r="B24">
        <v>13397</v>
      </c>
      <c r="C24" t="s">
        <v>95</v>
      </c>
      <c r="D24" t="s">
        <v>96</v>
      </c>
      <c r="E24">
        <v>0.69722222222222219</v>
      </c>
      <c r="G24">
        <v>1</v>
      </c>
      <c r="K24" t="b">
        <v>0</v>
      </c>
      <c r="M24">
        <v>676499</v>
      </c>
      <c r="N24" t="s">
        <v>97</v>
      </c>
      <c r="O24">
        <v>1787728452770</v>
      </c>
      <c r="P24" t="s">
        <v>65</v>
      </c>
      <c r="S24" t="s">
        <v>98</v>
      </c>
      <c r="T24" t="s">
        <v>67</v>
      </c>
      <c r="U24" t="s">
        <v>99</v>
      </c>
      <c r="V24">
        <v>9246</v>
      </c>
      <c r="W24" t="b">
        <v>0</v>
      </c>
      <c r="X24">
        <v>0</v>
      </c>
      <c r="Y24" t="s">
        <v>100</v>
      </c>
      <c r="Z24" t="b">
        <v>1</v>
      </c>
      <c r="AA24" t="s">
        <v>101</v>
      </c>
      <c r="AB24">
        <v>260826016031</v>
      </c>
      <c r="AC24" t="s">
        <v>102</v>
      </c>
      <c r="AD24" t="s">
        <v>102</v>
      </c>
      <c r="AE24">
        <v>8</v>
      </c>
      <c r="AF24">
        <v>4</v>
      </c>
      <c r="AG24" t="s">
        <v>91</v>
      </c>
      <c r="AH24" t="s">
        <v>98</v>
      </c>
      <c r="AI24" t="s">
        <v>74</v>
      </c>
      <c r="AJ24" t="s">
        <v>75</v>
      </c>
      <c r="AK24" t="s">
        <v>76</v>
      </c>
      <c r="AL24" t="s">
        <v>103</v>
      </c>
      <c r="AM24" t="s">
        <v>78</v>
      </c>
      <c r="AN24" t="b">
        <v>1</v>
      </c>
      <c r="AO24">
        <v>1019</v>
      </c>
      <c r="AP24" t="s">
        <v>65</v>
      </c>
      <c r="AQ24" t="b">
        <v>1</v>
      </c>
      <c r="AR24">
        <v>0</v>
      </c>
      <c r="AS24">
        <v>0</v>
      </c>
      <c r="AT24">
        <v>0</v>
      </c>
      <c r="AU24">
        <v>0</v>
      </c>
      <c r="AV24">
        <v>0</v>
      </c>
      <c r="AW24" t="b">
        <v>0</v>
      </c>
      <c r="AX24" t="b">
        <v>0</v>
      </c>
      <c r="AY24" t="s">
        <v>79</v>
      </c>
      <c r="AZ24" t="b">
        <v>0</v>
      </c>
      <c r="BA24" t="s">
        <v>104</v>
      </c>
      <c r="BB24" t="s">
        <v>105</v>
      </c>
      <c r="BC24" t="s">
        <v>82</v>
      </c>
      <c r="BD24" t="b">
        <v>0</v>
      </c>
      <c r="BE24">
        <v>4</v>
      </c>
      <c r="BF24" t="b">
        <v>0</v>
      </c>
    </row>
    <row r="25" spans="1:58" x14ac:dyDescent="0.25">
      <c r="E25">
        <v>0.91874999999999996</v>
      </c>
      <c r="F25" t="s">
        <v>188</v>
      </c>
      <c r="G25">
        <v>1</v>
      </c>
      <c r="K25" t="b">
        <v>1</v>
      </c>
      <c r="L25" t="s">
        <v>189</v>
      </c>
      <c r="M25">
        <v>125076821</v>
      </c>
      <c r="N25" t="s">
        <v>190</v>
      </c>
      <c r="O25">
        <v>1783341207000</v>
      </c>
      <c r="P25" t="s">
        <v>65</v>
      </c>
      <c r="S25" t="s">
        <v>191</v>
      </c>
      <c r="T25" t="s">
        <v>67</v>
      </c>
      <c r="U25" t="s">
        <v>68</v>
      </c>
      <c r="V25">
        <v>7029887</v>
      </c>
      <c r="W25" t="b">
        <v>0</v>
      </c>
      <c r="X25">
        <v>0</v>
      </c>
      <c r="Y25" t="s">
        <v>192</v>
      </c>
      <c r="Z25" t="b">
        <v>0</v>
      </c>
      <c r="AA25" t="s">
        <v>193</v>
      </c>
      <c r="AB25" t="s">
        <v>194</v>
      </c>
      <c r="AC25" t="s">
        <v>195</v>
      </c>
      <c r="AD25" t="s">
        <v>195</v>
      </c>
      <c r="AE25">
        <v>10</v>
      </c>
      <c r="AF25">
        <v>5</v>
      </c>
      <c r="AG25" t="s">
        <v>73</v>
      </c>
      <c r="AH25" t="s">
        <v>191</v>
      </c>
      <c r="AI25" t="s">
        <v>74</v>
      </c>
      <c r="AJ25" t="s">
        <v>75</v>
      </c>
      <c r="AK25" t="s">
        <v>76</v>
      </c>
      <c r="AL25" t="s">
        <v>135</v>
      </c>
      <c r="AM25" t="s">
        <v>78</v>
      </c>
      <c r="AN25" t="b">
        <v>0</v>
      </c>
      <c r="AO25">
        <v>1019</v>
      </c>
      <c r="AP25" t="s">
        <v>65</v>
      </c>
      <c r="AQ25" t="b">
        <v>1</v>
      </c>
      <c r="AR25">
        <v>0</v>
      </c>
      <c r="AS25">
        <v>0</v>
      </c>
      <c r="AT25">
        <v>0</v>
      </c>
      <c r="AU25">
        <v>0</v>
      </c>
      <c r="AV25">
        <v>0</v>
      </c>
      <c r="AW25" t="b">
        <v>0</v>
      </c>
      <c r="AX25" t="b">
        <v>0</v>
      </c>
      <c r="AY25" t="s">
        <v>79</v>
      </c>
      <c r="AZ25" t="b">
        <v>0</v>
      </c>
      <c r="BA25" t="s">
        <v>196</v>
      </c>
      <c r="BB25" t="s">
        <v>197</v>
      </c>
      <c r="BC25" t="s">
        <v>198</v>
      </c>
      <c r="BD25" t="b">
        <v>0</v>
      </c>
      <c r="BF25" t="b">
        <v>0</v>
      </c>
    </row>
    <row r="26" spans="1:58" x14ac:dyDescent="0.25">
      <c r="A26">
        <v>3.9</v>
      </c>
      <c r="B26">
        <v>26716</v>
      </c>
      <c r="C26" t="s">
        <v>126</v>
      </c>
      <c r="D26" t="s">
        <v>127</v>
      </c>
      <c r="E26">
        <v>0.74861111111111112</v>
      </c>
      <c r="F26" t="s">
        <v>128</v>
      </c>
      <c r="G26">
        <v>1</v>
      </c>
      <c r="H26">
        <v>10201</v>
      </c>
      <c r="K26" t="b">
        <v>1</v>
      </c>
      <c r="L26" t="s">
        <v>129</v>
      </c>
      <c r="M26">
        <v>16987</v>
      </c>
      <c r="N26" t="s">
        <v>130</v>
      </c>
      <c r="O26">
        <v>1787819294543</v>
      </c>
      <c r="P26" t="s">
        <v>65</v>
      </c>
      <c r="S26" t="s">
        <v>131</v>
      </c>
      <c r="T26" t="s">
        <v>67</v>
      </c>
      <c r="U26" t="s">
        <v>87</v>
      </c>
      <c r="V26">
        <v>19288</v>
      </c>
      <c r="W26" t="b">
        <v>0</v>
      </c>
      <c r="X26">
        <v>0</v>
      </c>
      <c r="Y26" t="s">
        <v>132</v>
      </c>
      <c r="Z26" t="b">
        <v>0</v>
      </c>
      <c r="AA26" t="s">
        <v>133</v>
      </c>
      <c r="AB26">
        <v>270826917532</v>
      </c>
      <c r="AC26" t="s">
        <v>134</v>
      </c>
      <c r="AD26" t="s">
        <v>134</v>
      </c>
      <c r="AE26">
        <v>8</v>
      </c>
      <c r="AF26">
        <v>6</v>
      </c>
      <c r="AG26" t="s">
        <v>91</v>
      </c>
      <c r="AH26" t="s">
        <v>131</v>
      </c>
      <c r="AI26" t="s">
        <v>74</v>
      </c>
      <c r="AJ26" t="s">
        <v>75</v>
      </c>
      <c r="AK26" t="s">
        <v>76</v>
      </c>
      <c r="AL26" t="s">
        <v>135</v>
      </c>
      <c r="AM26" t="s">
        <v>78</v>
      </c>
      <c r="AN26" t="b">
        <v>0</v>
      </c>
      <c r="AO26">
        <v>1019</v>
      </c>
      <c r="AP26" t="s">
        <v>65</v>
      </c>
      <c r="AQ26" t="b">
        <v>1</v>
      </c>
      <c r="AR26">
        <v>0</v>
      </c>
      <c r="AS26">
        <v>0</v>
      </c>
      <c r="AT26">
        <v>0</v>
      </c>
      <c r="AU26">
        <v>0</v>
      </c>
      <c r="AV26">
        <v>0</v>
      </c>
      <c r="AW26" t="b">
        <v>0</v>
      </c>
      <c r="AX26" t="b">
        <v>0</v>
      </c>
      <c r="AY26" t="s">
        <v>79</v>
      </c>
      <c r="AZ26" t="b">
        <v>0</v>
      </c>
      <c r="BA26" t="s">
        <v>136</v>
      </c>
      <c r="BB26" t="s">
        <v>137</v>
      </c>
      <c r="BC26" t="s">
        <v>138</v>
      </c>
      <c r="BD26" t="b">
        <v>0</v>
      </c>
      <c r="BF26" t="b">
        <v>0</v>
      </c>
    </row>
    <row r="27" spans="1:58" x14ac:dyDescent="0.25">
      <c r="A27">
        <v>3.9</v>
      </c>
      <c r="B27">
        <v>26716</v>
      </c>
      <c r="C27" t="s">
        <v>126</v>
      </c>
      <c r="D27" t="s">
        <v>127</v>
      </c>
      <c r="E27">
        <v>0.5805555555555556</v>
      </c>
      <c r="F27" t="s">
        <v>139</v>
      </c>
      <c r="G27">
        <v>1</v>
      </c>
      <c r="H27">
        <v>10201</v>
      </c>
      <c r="K27" t="b">
        <v>1</v>
      </c>
      <c r="L27" t="s">
        <v>140</v>
      </c>
      <c r="M27">
        <v>16987</v>
      </c>
      <c r="N27" t="s">
        <v>130</v>
      </c>
      <c r="O27">
        <v>1787718372586</v>
      </c>
      <c r="P27" t="s">
        <v>65</v>
      </c>
      <c r="S27" t="s">
        <v>118</v>
      </c>
      <c r="T27" t="s">
        <v>67</v>
      </c>
      <c r="U27" t="s">
        <v>99</v>
      </c>
      <c r="V27">
        <v>19288</v>
      </c>
      <c r="W27" t="b">
        <v>0</v>
      </c>
      <c r="X27">
        <v>0</v>
      </c>
      <c r="Y27" t="s">
        <v>141</v>
      </c>
      <c r="Z27" t="b">
        <v>0</v>
      </c>
      <c r="AA27" t="s">
        <v>142</v>
      </c>
      <c r="AB27">
        <v>260826909019</v>
      </c>
      <c r="AC27" t="s">
        <v>134</v>
      </c>
      <c r="AD27" t="s">
        <v>134</v>
      </c>
      <c r="AE27">
        <v>10</v>
      </c>
      <c r="AF27">
        <v>8</v>
      </c>
      <c r="AG27" t="s">
        <v>91</v>
      </c>
      <c r="AH27" t="s">
        <v>118</v>
      </c>
      <c r="AI27" t="s">
        <v>74</v>
      </c>
      <c r="AJ27" t="s">
        <v>75</v>
      </c>
      <c r="AK27" t="s">
        <v>76</v>
      </c>
      <c r="AL27" t="s">
        <v>135</v>
      </c>
      <c r="AM27" t="s">
        <v>78</v>
      </c>
      <c r="AN27" t="b">
        <v>0</v>
      </c>
      <c r="AO27">
        <v>1019</v>
      </c>
      <c r="AP27" t="s">
        <v>65</v>
      </c>
      <c r="AQ27" t="b">
        <v>1</v>
      </c>
      <c r="AR27">
        <v>0</v>
      </c>
      <c r="AS27">
        <v>0</v>
      </c>
      <c r="AT27">
        <v>0</v>
      </c>
      <c r="AU27">
        <v>0</v>
      </c>
      <c r="AV27">
        <v>0</v>
      </c>
      <c r="AW27" t="b">
        <v>0</v>
      </c>
      <c r="AX27" t="b">
        <v>0</v>
      </c>
      <c r="AY27" t="s">
        <v>79</v>
      </c>
      <c r="AZ27" t="b">
        <v>0</v>
      </c>
      <c r="BA27" t="s">
        <v>136</v>
      </c>
      <c r="BB27" t="s">
        <v>143</v>
      </c>
      <c r="BC27" t="s">
        <v>138</v>
      </c>
      <c r="BD27" t="b">
        <v>0</v>
      </c>
      <c r="BF27" t="b">
        <v>0</v>
      </c>
    </row>
    <row r="28" spans="1:58" x14ac:dyDescent="0.25">
      <c r="A28">
        <v>3.9</v>
      </c>
      <c r="B28">
        <v>26716</v>
      </c>
      <c r="C28" t="s">
        <v>126</v>
      </c>
      <c r="D28" t="s">
        <v>127</v>
      </c>
      <c r="E28">
        <v>0.79583333333333328</v>
      </c>
      <c r="F28" t="s">
        <v>199</v>
      </c>
      <c r="G28">
        <v>1</v>
      </c>
      <c r="H28">
        <v>10201</v>
      </c>
      <c r="K28" t="b">
        <v>1</v>
      </c>
      <c r="L28" t="s">
        <v>200</v>
      </c>
      <c r="M28">
        <v>16987</v>
      </c>
      <c r="N28" t="s">
        <v>130</v>
      </c>
      <c r="O28">
        <v>1787218594529</v>
      </c>
      <c r="P28" t="s">
        <v>65</v>
      </c>
      <c r="S28" t="s">
        <v>191</v>
      </c>
      <c r="T28" t="s">
        <v>67</v>
      </c>
      <c r="U28" t="s">
        <v>201</v>
      </c>
      <c r="V28">
        <v>19288</v>
      </c>
      <c r="W28" t="b">
        <v>0</v>
      </c>
      <c r="X28">
        <v>0</v>
      </c>
      <c r="Y28" t="s">
        <v>202</v>
      </c>
      <c r="Z28" t="b">
        <v>0</v>
      </c>
      <c r="AA28" t="s">
        <v>203</v>
      </c>
      <c r="AB28">
        <v>200826923685</v>
      </c>
      <c r="AC28" t="s">
        <v>134</v>
      </c>
      <c r="AD28" t="s">
        <v>134</v>
      </c>
      <c r="AE28">
        <v>10</v>
      </c>
      <c r="AF28">
        <v>5</v>
      </c>
      <c r="AG28" t="s">
        <v>91</v>
      </c>
      <c r="AH28" t="s">
        <v>191</v>
      </c>
      <c r="AI28" t="s">
        <v>74</v>
      </c>
      <c r="AJ28" t="s">
        <v>75</v>
      </c>
      <c r="AK28" t="s">
        <v>76</v>
      </c>
      <c r="AL28" t="s">
        <v>135</v>
      </c>
      <c r="AM28" t="s">
        <v>78</v>
      </c>
      <c r="AN28" t="b">
        <v>0</v>
      </c>
      <c r="AO28">
        <v>1019</v>
      </c>
      <c r="AP28" t="s">
        <v>65</v>
      </c>
      <c r="AQ28" t="b">
        <v>1</v>
      </c>
      <c r="AR28">
        <v>0</v>
      </c>
      <c r="AS28">
        <v>0</v>
      </c>
      <c r="AT28">
        <v>0</v>
      </c>
      <c r="AU28">
        <v>0</v>
      </c>
      <c r="AV28">
        <v>0</v>
      </c>
      <c r="AW28" t="b">
        <v>0</v>
      </c>
      <c r="AX28" t="b">
        <v>0</v>
      </c>
      <c r="AY28" t="s">
        <v>79</v>
      </c>
      <c r="AZ28" t="b">
        <v>0</v>
      </c>
      <c r="BA28" t="s">
        <v>136</v>
      </c>
      <c r="BB28" t="s">
        <v>204</v>
      </c>
      <c r="BC28" t="s">
        <v>138</v>
      </c>
      <c r="BD28" t="b">
        <v>0</v>
      </c>
      <c r="BF28" t="b">
        <v>0</v>
      </c>
    </row>
    <row r="29" spans="1:58" x14ac:dyDescent="0.25">
      <c r="A29">
        <v>3.2</v>
      </c>
      <c r="B29">
        <v>118481</v>
      </c>
      <c r="C29" t="s">
        <v>144</v>
      </c>
      <c r="D29" t="s">
        <v>145</v>
      </c>
      <c r="E29">
        <v>0.8208333333333333</v>
      </c>
      <c r="G29">
        <v>1</v>
      </c>
      <c r="H29">
        <v>2949</v>
      </c>
      <c r="K29" t="b">
        <v>0</v>
      </c>
      <c r="M29">
        <v>892542</v>
      </c>
      <c r="N29" t="s">
        <v>146</v>
      </c>
      <c r="O29">
        <v>1787911934859</v>
      </c>
      <c r="P29" t="s">
        <v>65</v>
      </c>
      <c r="S29" t="s">
        <v>147</v>
      </c>
      <c r="T29" t="s">
        <v>67</v>
      </c>
      <c r="U29" t="s">
        <v>119</v>
      </c>
      <c r="V29">
        <v>223346</v>
      </c>
      <c r="W29" t="b">
        <v>0</v>
      </c>
      <c r="X29">
        <v>0</v>
      </c>
      <c r="Y29" t="s">
        <v>148</v>
      </c>
      <c r="Z29" t="b">
        <v>1</v>
      </c>
      <c r="AA29" t="s">
        <v>149</v>
      </c>
      <c r="AB29">
        <v>280826008430</v>
      </c>
      <c r="AC29" t="s">
        <v>150</v>
      </c>
      <c r="AD29" t="s">
        <v>150</v>
      </c>
      <c r="AE29">
        <v>10</v>
      </c>
      <c r="AF29">
        <v>6</v>
      </c>
      <c r="AG29" t="s">
        <v>91</v>
      </c>
      <c r="AH29" t="s">
        <v>147</v>
      </c>
      <c r="AI29" t="s">
        <v>74</v>
      </c>
      <c r="AJ29" t="s">
        <v>75</v>
      </c>
      <c r="AK29" t="s">
        <v>76</v>
      </c>
      <c r="AL29" t="s">
        <v>151</v>
      </c>
      <c r="AM29" t="s">
        <v>78</v>
      </c>
      <c r="AN29" t="b">
        <v>0</v>
      </c>
      <c r="AO29">
        <v>1019</v>
      </c>
      <c r="AP29" t="s">
        <v>65</v>
      </c>
      <c r="AQ29" t="b">
        <v>1</v>
      </c>
      <c r="AR29">
        <v>0</v>
      </c>
      <c r="AS29">
        <v>0</v>
      </c>
      <c r="AT29">
        <v>0</v>
      </c>
      <c r="AU29">
        <v>0</v>
      </c>
      <c r="AV29">
        <v>0</v>
      </c>
      <c r="AW29" t="b">
        <v>0</v>
      </c>
      <c r="AX29" t="b">
        <v>0</v>
      </c>
      <c r="AY29" t="s">
        <v>79</v>
      </c>
      <c r="AZ29" t="b">
        <v>0</v>
      </c>
      <c r="BA29" t="s">
        <v>152</v>
      </c>
      <c r="BB29" t="s">
        <v>153</v>
      </c>
      <c r="BC29" t="s">
        <v>82</v>
      </c>
      <c r="BD29" t="b">
        <v>0</v>
      </c>
      <c r="BF29" t="b">
        <v>0</v>
      </c>
    </row>
    <row r="30" spans="1:58" x14ac:dyDescent="0.25">
      <c r="A30">
        <v>3.7</v>
      </c>
      <c r="B30">
        <v>6800</v>
      </c>
      <c r="C30" t="s">
        <v>165</v>
      </c>
      <c r="D30" t="s">
        <v>166</v>
      </c>
      <c r="E30">
        <v>0.92569444444444449</v>
      </c>
      <c r="G30">
        <v>1</v>
      </c>
      <c r="H30">
        <v>2639</v>
      </c>
      <c r="K30" t="b">
        <v>0</v>
      </c>
      <c r="M30">
        <v>19934</v>
      </c>
      <c r="N30" t="s">
        <v>167</v>
      </c>
      <c r="O30">
        <v>1787316218988</v>
      </c>
      <c r="P30" t="s">
        <v>65</v>
      </c>
      <c r="S30" t="s">
        <v>168</v>
      </c>
      <c r="T30" t="s">
        <v>67</v>
      </c>
      <c r="U30" t="s">
        <v>169</v>
      </c>
      <c r="V30">
        <v>21746</v>
      </c>
      <c r="W30" t="b">
        <v>0</v>
      </c>
      <c r="X30">
        <v>0</v>
      </c>
      <c r="Y30" t="s">
        <v>170</v>
      </c>
      <c r="Z30" t="b">
        <v>1</v>
      </c>
      <c r="AA30" t="s">
        <v>171</v>
      </c>
      <c r="AB30">
        <v>210826932923</v>
      </c>
      <c r="AC30" t="s">
        <v>172</v>
      </c>
      <c r="AD30" t="s">
        <v>172</v>
      </c>
      <c r="AE30">
        <v>13</v>
      </c>
      <c r="AF30">
        <v>8</v>
      </c>
      <c r="AG30" t="s">
        <v>91</v>
      </c>
      <c r="AH30" t="s">
        <v>168</v>
      </c>
      <c r="AI30" t="s">
        <v>74</v>
      </c>
      <c r="AJ30" t="s">
        <v>75</v>
      </c>
      <c r="AK30" t="s">
        <v>76</v>
      </c>
      <c r="AL30" t="s">
        <v>135</v>
      </c>
      <c r="AM30" t="s">
        <v>78</v>
      </c>
      <c r="AN30" t="b">
        <v>0</v>
      </c>
      <c r="AO30">
        <v>1028</v>
      </c>
      <c r="AP30" t="s">
        <v>65</v>
      </c>
      <c r="AQ30" t="b">
        <v>1</v>
      </c>
      <c r="AR30">
        <v>0</v>
      </c>
      <c r="AS30">
        <v>0</v>
      </c>
      <c r="AT30">
        <v>0</v>
      </c>
      <c r="AU30">
        <v>0</v>
      </c>
      <c r="AV30">
        <v>0</v>
      </c>
      <c r="AW30" t="b">
        <v>0</v>
      </c>
      <c r="AX30" t="b">
        <v>0</v>
      </c>
      <c r="AY30" t="s">
        <v>79</v>
      </c>
      <c r="AZ30" t="b">
        <v>0</v>
      </c>
      <c r="BA30" t="s">
        <v>173</v>
      </c>
      <c r="BB30" t="s">
        <v>174</v>
      </c>
      <c r="BC30" t="s">
        <v>175</v>
      </c>
      <c r="BD30" t="b">
        <v>0</v>
      </c>
      <c r="BF30" t="b">
        <v>0</v>
      </c>
    </row>
    <row r="31" spans="1:58" x14ac:dyDescent="0.25">
      <c r="A31">
        <v>3.5</v>
      </c>
      <c r="B31">
        <v>50684</v>
      </c>
      <c r="C31" t="s">
        <v>205</v>
      </c>
      <c r="D31" t="s">
        <v>206</v>
      </c>
      <c r="E31">
        <v>0.90694444444444444</v>
      </c>
      <c r="G31">
        <v>1</v>
      </c>
      <c r="I31">
        <v>1</v>
      </c>
      <c r="J31" t="s">
        <v>207</v>
      </c>
      <c r="K31" t="b">
        <v>0</v>
      </c>
      <c r="M31">
        <v>124269780</v>
      </c>
      <c r="N31" t="s">
        <v>208</v>
      </c>
      <c r="O31">
        <v>1787573805796</v>
      </c>
      <c r="P31" t="s">
        <v>65</v>
      </c>
      <c r="Q31" t="s">
        <v>209</v>
      </c>
      <c r="R31" t="b">
        <v>0</v>
      </c>
      <c r="S31" t="s">
        <v>210</v>
      </c>
      <c r="T31" t="s">
        <v>67</v>
      </c>
      <c r="U31" t="s">
        <v>211</v>
      </c>
      <c r="V31">
        <v>13832</v>
      </c>
      <c r="W31" t="b">
        <v>0</v>
      </c>
      <c r="X31">
        <v>0</v>
      </c>
      <c r="Y31" t="s">
        <v>212</v>
      </c>
      <c r="Z31" t="b">
        <v>0</v>
      </c>
      <c r="AA31" t="s">
        <v>213</v>
      </c>
      <c r="AB31">
        <v>170826004896</v>
      </c>
      <c r="AC31" t="s">
        <v>214</v>
      </c>
      <c r="AD31" t="s">
        <v>214</v>
      </c>
      <c r="AE31">
        <v>8</v>
      </c>
      <c r="AF31">
        <v>5</v>
      </c>
      <c r="AG31" t="s">
        <v>91</v>
      </c>
      <c r="AH31" t="s">
        <v>210</v>
      </c>
      <c r="AI31" t="s">
        <v>74</v>
      </c>
      <c r="AJ31" t="s">
        <v>75</v>
      </c>
      <c r="AK31" t="s">
        <v>76</v>
      </c>
      <c r="AL31" t="s">
        <v>215</v>
      </c>
      <c r="AM31" t="s">
        <v>78</v>
      </c>
      <c r="AN31" t="b">
        <v>1</v>
      </c>
      <c r="AO31">
        <v>1028</v>
      </c>
      <c r="AP31" t="s">
        <v>65</v>
      </c>
      <c r="AQ31" t="b">
        <v>1</v>
      </c>
      <c r="AR31">
        <v>0</v>
      </c>
      <c r="AS31">
        <v>0</v>
      </c>
      <c r="AT31">
        <v>0</v>
      </c>
      <c r="AU31">
        <v>0</v>
      </c>
      <c r="AV31">
        <v>0</v>
      </c>
      <c r="AW31" t="b">
        <v>0</v>
      </c>
      <c r="AX31" t="b">
        <v>0</v>
      </c>
      <c r="AY31" t="s">
        <v>79</v>
      </c>
      <c r="AZ31" t="b">
        <v>0</v>
      </c>
      <c r="BA31" t="s">
        <v>216</v>
      </c>
      <c r="BB31" t="s">
        <v>217</v>
      </c>
      <c r="BC31" t="s">
        <v>218</v>
      </c>
      <c r="BD31" t="b">
        <v>0</v>
      </c>
      <c r="BE31">
        <v>1000</v>
      </c>
      <c r="BF31" t="b">
        <v>0</v>
      </c>
    </row>
    <row r="32" spans="1:58" x14ac:dyDescent="0.25">
      <c r="A32">
        <v>3.8</v>
      </c>
      <c r="B32">
        <v>6281</v>
      </c>
      <c r="C32" t="s">
        <v>176</v>
      </c>
      <c r="D32" t="s">
        <v>177</v>
      </c>
      <c r="E32">
        <v>0.90138888888888891</v>
      </c>
      <c r="F32" t="s">
        <v>178</v>
      </c>
      <c r="G32">
        <v>1</v>
      </c>
      <c r="H32">
        <v>15127</v>
      </c>
      <c r="K32" t="b">
        <v>1</v>
      </c>
      <c r="L32" t="s">
        <v>179</v>
      </c>
      <c r="M32">
        <v>1369478</v>
      </c>
      <c r="N32" t="s">
        <v>180</v>
      </c>
      <c r="O32">
        <v>1766146126000</v>
      </c>
      <c r="P32" t="s">
        <v>65</v>
      </c>
      <c r="S32" t="s">
        <v>181</v>
      </c>
      <c r="T32" t="s">
        <v>67</v>
      </c>
      <c r="U32" t="s">
        <v>68</v>
      </c>
      <c r="V32">
        <v>164080</v>
      </c>
      <c r="W32" t="b">
        <v>0</v>
      </c>
      <c r="X32">
        <v>0</v>
      </c>
      <c r="Y32" t="s">
        <v>182</v>
      </c>
      <c r="Z32" t="b">
        <v>0</v>
      </c>
      <c r="AA32" t="s">
        <v>183</v>
      </c>
      <c r="AB32">
        <v>191225503735</v>
      </c>
      <c r="AC32" t="s">
        <v>184</v>
      </c>
      <c r="AD32" t="s">
        <v>184</v>
      </c>
      <c r="AE32">
        <v>7</v>
      </c>
      <c r="AF32">
        <v>3</v>
      </c>
      <c r="AG32" t="s">
        <v>73</v>
      </c>
      <c r="AH32" t="s">
        <v>181</v>
      </c>
      <c r="AI32" t="s">
        <v>74</v>
      </c>
      <c r="AJ32" t="s">
        <v>75</v>
      </c>
      <c r="AK32" t="s">
        <v>76</v>
      </c>
      <c r="AL32" t="s">
        <v>135</v>
      </c>
      <c r="AM32" t="s">
        <v>78</v>
      </c>
      <c r="AN32" t="b">
        <v>0</v>
      </c>
      <c r="AO32">
        <v>1019</v>
      </c>
      <c r="AP32" t="s">
        <v>65</v>
      </c>
      <c r="AQ32" t="b">
        <v>1</v>
      </c>
      <c r="AR32">
        <v>0</v>
      </c>
      <c r="AS32">
        <v>0</v>
      </c>
      <c r="AT32">
        <v>0</v>
      </c>
      <c r="AU32">
        <v>0</v>
      </c>
      <c r="AV32">
        <v>0</v>
      </c>
      <c r="AW32" t="b">
        <v>0</v>
      </c>
      <c r="AX32" t="b">
        <v>0</v>
      </c>
      <c r="AY32" t="s">
        <v>79</v>
      </c>
      <c r="AZ32" t="b">
        <v>0</v>
      </c>
      <c r="BA32" t="s">
        <v>185</v>
      </c>
      <c r="BB32" t="s">
        <v>186</v>
      </c>
      <c r="BC32" t="s">
        <v>187</v>
      </c>
      <c r="BD32" t="b">
        <v>0</v>
      </c>
      <c r="BF32" t="b">
        <v>0</v>
      </c>
    </row>
    <row r="33" spans="1:58" x14ac:dyDescent="0.25">
      <c r="A33">
        <v>3.4</v>
      </c>
      <c r="B33">
        <v>47884</v>
      </c>
      <c r="C33" t="s">
        <v>83</v>
      </c>
      <c r="D33" t="s">
        <v>84</v>
      </c>
      <c r="E33">
        <v>0.62777777777777777</v>
      </c>
      <c r="G33">
        <v>1</v>
      </c>
      <c r="H33">
        <v>3730</v>
      </c>
      <c r="K33" t="b">
        <v>0</v>
      </c>
      <c r="M33">
        <v>2904476</v>
      </c>
      <c r="N33" t="s">
        <v>85</v>
      </c>
      <c r="O33">
        <v>1787808879920</v>
      </c>
      <c r="P33" t="s">
        <v>65</v>
      </c>
      <c r="S33" t="s">
        <v>86</v>
      </c>
      <c r="T33" t="s">
        <v>67</v>
      </c>
      <c r="U33" t="s">
        <v>87</v>
      </c>
      <c r="V33">
        <v>194354</v>
      </c>
      <c r="W33" t="b">
        <v>0</v>
      </c>
      <c r="X33">
        <v>0</v>
      </c>
      <c r="Y33" t="s">
        <v>88</v>
      </c>
      <c r="Z33" t="b">
        <v>1</v>
      </c>
      <c r="AA33" t="s">
        <v>89</v>
      </c>
      <c r="AB33">
        <v>270826010477</v>
      </c>
      <c r="AC33" t="s">
        <v>90</v>
      </c>
      <c r="AD33" t="s">
        <v>90</v>
      </c>
      <c r="AE33">
        <v>7</v>
      </c>
      <c r="AF33">
        <v>4</v>
      </c>
      <c r="AG33" t="s">
        <v>91</v>
      </c>
      <c r="AH33" t="s">
        <v>86</v>
      </c>
      <c r="AI33" t="s">
        <v>74</v>
      </c>
      <c r="AJ33" t="s">
        <v>75</v>
      </c>
      <c r="AK33" t="s">
        <v>76</v>
      </c>
      <c r="AL33" t="s">
        <v>92</v>
      </c>
      <c r="AM33" t="s">
        <v>78</v>
      </c>
      <c r="AN33" t="b">
        <v>1</v>
      </c>
      <c r="AO33">
        <v>1020</v>
      </c>
      <c r="AP33" t="s">
        <v>65</v>
      </c>
      <c r="AQ33" t="b">
        <v>1</v>
      </c>
      <c r="AR33">
        <v>0</v>
      </c>
      <c r="AS33">
        <v>0</v>
      </c>
      <c r="AT33">
        <v>0</v>
      </c>
      <c r="AU33">
        <v>0</v>
      </c>
      <c r="AV33">
        <v>0</v>
      </c>
      <c r="AW33" t="b">
        <v>0</v>
      </c>
      <c r="AX33" t="b">
        <v>0</v>
      </c>
      <c r="AY33" t="s">
        <v>79</v>
      </c>
      <c r="AZ33" t="b">
        <v>0</v>
      </c>
      <c r="BA33" t="s">
        <v>93</v>
      </c>
      <c r="BB33" t="s">
        <v>94</v>
      </c>
      <c r="BC33" t="s">
        <v>82</v>
      </c>
      <c r="BD33" t="b">
        <v>0</v>
      </c>
      <c r="BF33" t="b">
        <v>0</v>
      </c>
    </row>
    <row r="34" spans="1:58" x14ac:dyDescent="0.25">
      <c r="A34">
        <v>3.3</v>
      </c>
      <c r="B34">
        <v>13397</v>
      </c>
      <c r="C34" t="s">
        <v>95</v>
      </c>
      <c r="D34" t="s">
        <v>96</v>
      </c>
      <c r="E34">
        <v>0.69722222222222219</v>
      </c>
      <c r="G34">
        <v>1</v>
      </c>
      <c r="K34" t="b">
        <v>0</v>
      </c>
      <c r="M34">
        <v>676499</v>
      </c>
      <c r="N34" t="s">
        <v>97</v>
      </c>
      <c r="O34">
        <v>1787728452770</v>
      </c>
      <c r="P34" t="s">
        <v>65</v>
      </c>
      <c r="S34" t="s">
        <v>98</v>
      </c>
      <c r="T34" t="s">
        <v>67</v>
      </c>
      <c r="U34" t="s">
        <v>99</v>
      </c>
      <c r="V34">
        <v>9246</v>
      </c>
      <c r="W34" t="b">
        <v>0</v>
      </c>
      <c r="X34">
        <v>0</v>
      </c>
      <c r="Y34" t="s">
        <v>100</v>
      </c>
      <c r="Z34" t="b">
        <v>1</v>
      </c>
      <c r="AA34" t="s">
        <v>101</v>
      </c>
      <c r="AB34">
        <v>260826016031</v>
      </c>
      <c r="AC34" t="s">
        <v>102</v>
      </c>
      <c r="AD34" t="s">
        <v>102</v>
      </c>
      <c r="AE34">
        <v>8</v>
      </c>
      <c r="AF34">
        <v>4</v>
      </c>
      <c r="AG34" t="s">
        <v>91</v>
      </c>
      <c r="AH34" t="s">
        <v>98</v>
      </c>
      <c r="AI34" t="s">
        <v>74</v>
      </c>
      <c r="AJ34" t="s">
        <v>75</v>
      </c>
      <c r="AK34" t="s">
        <v>76</v>
      </c>
      <c r="AL34" t="s">
        <v>103</v>
      </c>
      <c r="AM34" t="s">
        <v>78</v>
      </c>
      <c r="AN34" t="b">
        <v>1</v>
      </c>
      <c r="AO34">
        <v>1019</v>
      </c>
      <c r="AP34" t="s">
        <v>65</v>
      </c>
      <c r="AQ34" t="b">
        <v>1</v>
      </c>
      <c r="AR34">
        <v>0</v>
      </c>
      <c r="AS34">
        <v>0</v>
      </c>
      <c r="AT34">
        <v>0</v>
      </c>
      <c r="AU34">
        <v>0</v>
      </c>
      <c r="AV34">
        <v>0</v>
      </c>
      <c r="AW34" t="b">
        <v>0</v>
      </c>
      <c r="AX34" t="b">
        <v>0</v>
      </c>
      <c r="AY34" t="s">
        <v>79</v>
      </c>
      <c r="AZ34" t="b">
        <v>0</v>
      </c>
      <c r="BA34" t="s">
        <v>104</v>
      </c>
      <c r="BB34" t="s">
        <v>105</v>
      </c>
      <c r="BC34" t="s">
        <v>82</v>
      </c>
      <c r="BD34" t="b">
        <v>0</v>
      </c>
      <c r="BE34">
        <v>4</v>
      </c>
      <c r="BF34" t="b">
        <v>0</v>
      </c>
    </row>
    <row r="35" spans="1:58" x14ac:dyDescent="0.25">
      <c r="E35">
        <v>0.91874999999999996</v>
      </c>
      <c r="F35" t="s">
        <v>188</v>
      </c>
      <c r="G35">
        <v>1</v>
      </c>
      <c r="K35" t="b">
        <v>1</v>
      </c>
      <c r="L35" t="s">
        <v>189</v>
      </c>
      <c r="M35">
        <v>125076821</v>
      </c>
      <c r="N35" t="s">
        <v>190</v>
      </c>
      <c r="O35">
        <v>1783341207000</v>
      </c>
      <c r="P35" t="s">
        <v>65</v>
      </c>
      <c r="S35" t="s">
        <v>191</v>
      </c>
      <c r="T35" t="s">
        <v>67</v>
      </c>
      <c r="U35" t="s">
        <v>68</v>
      </c>
      <c r="V35">
        <v>7029887</v>
      </c>
      <c r="W35" t="b">
        <v>0</v>
      </c>
      <c r="X35">
        <v>0</v>
      </c>
      <c r="Y35" t="s">
        <v>192</v>
      </c>
      <c r="Z35" t="b">
        <v>0</v>
      </c>
      <c r="AA35" t="s">
        <v>193</v>
      </c>
      <c r="AB35" t="s">
        <v>194</v>
      </c>
      <c r="AC35" t="s">
        <v>195</v>
      </c>
      <c r="AD35" t="s">
        <v>195</v>
      </c>
      <c r="AE35">
        <v>10</v>
      </c>
      <c r="AF35">
        <v>5</v>
      </c>
      <c r="AG35" t="s">
        <v>73</v>
      </c>
      <c r="AH35" t="s">
        <v>191</v>
      </c>
      <c r="AI35" t="s">
        <v>74</v>
      </c>
      <c r="AJ35" t="s">
        <v>75</v>
      </c>
      <c r="AK35" t="s">
        <v>76</v>
      </c>
      <c r="AL35" t="s">
        <v>135</v>
      </c>
      <c r="AM35" t="s">
        <v>78</v>
      </c>
      <c r="AN35" t="b">
        <v>0</v>
      </c>
      <c r="AO35">
        <v>1019</v>
      </c>
      <c r="AP35" t="s">
        <v>65</v>
      </c>
      <c r="AQ35" t="b">
        <v>1</v>
      </c>
      <c r="AR35">
        <v>0</v>
      </c>
      <c r="AS35">
        <v>0</v>
      </c>
      <c r="AT35">
        <v>0</v>
      </c>
      <c r="AU35">
        <v>0</v>
      </c>
      <c r="AV35">
        <v>0</v>
      </c>
      <c r="AW35" t="b">
        <v>0</v>
      </c>
      <c r="AX35" t="b">
        <v>0</v>
      </c>
      <c r="AY35" t="s">
        <v>79</v>
      </c>
      <c r="AZ35" t="b">
        <v>0</v>
      </c>
      <c r="BA35" t="s">
        <v>196</v>
      </c>
      <c r="BB35" t="s">
        <v>197</v>
      </c>
      <c r="BC35" t="s">
        <v>198</v>
      </c>
      <c r="BD35" t="b">
        <v>0</v>
      </c>
      <c r="BF35" t="b">
        <v>0</v>
      </c>
    </row>
    <row r="36" spans="1:58" x14ac:dyDescent="0.25">
      <c r="A36">
        <v>3.9</v>
      </c>
      <c r="B36">
        <v>26716</v>
      </c>
      <c r="C36" t="s">
        <v>126</v>
      </c>
      <c r="D36" t="s">
        <v>127</v>
      </c>
      <c r="E36">
        <v>0.74861111111111112</v>
      </c>
      <c r="F36" t="s">
        <v>128</v>
      </c>
      <c r="G36">
        <v>1</v>
      </c>
      <c r="H36">
        <v>10201</v>
      </c>
      <c r="K36" t="b">
        <v>1</v>
      </c>
      <c r="L36" t="s">
        <v>129</v>
      </c>
      <c r="M36">
        <v>16987</v>
      </c>
      <c r="N36" t="s">
        <v>130</v>
      </c>
      <c r="O36">
        <v>1787819294543</v>
      </c>
      <c r="P36" t="s">
        <v>65</v>
      </c>
      <c r="S36" t="s">
        <v>131</v>
      </c>
      <c r="T36" t="s">
        <v>67</v>
      </c>
      <c r="U36" t="s">
        <v>87</v>
      </c>
      <c r="V36">
        <v>19288</v>
      </c>
      <c r="W36" t="b">
        <v>0</v>
      </c>
      <c r="X36">
        <v>0</v>
      </c>
      <c r="Y36" t="s">
        <v>132</v>
      </c>
      <c r="Z36" t="b">
        <v>0</v>
      </c>
      <c r="AA36" t="s">
        <v>133</v>
      </c>
      <c r="AB36">
        <v>270826917532</v>
      </c>
      <c r="AC36" t="s">
        <v>134</v>
      </c>
      <c r="AD36" t="s">
        <v>134</v>
      </c>
      <c r="AE36">
        <v>8</v>
      </c>
      <c r="AF36">
        <v>6</v>
      </c>
      <c r="AG36" t="s">
        <v>91</v>
      </c>
      <c r="AH36" t="s">
        <v>131</v>
      </c>
      <c r="AI36" t="s">
        <v>74</v>
      </c>
      <c r="AJ36" t="s">
        <v>75</v>
      </c>
      <c r="AK36" t="s">
        <v>76</v>
      </c>
      <c r="AL36" t="s">
        <v>135</v>
      </c>
      <c r="AM36" t="s">
        <v>78</v>
      </c>
      <c r="AN36" t="b">
        <v>0</v>
      </c>
      <c r="AO36">
        <v>1019</v>
      </c>
      <c r="AP36" t="s">
        <v>65</v>
      </c>
      <c r="AQ36" t="b">
        <v>1</v>
      </c>
      <c r="AR36">
        <v>0</v>
      </c>
      <c r="AS36">
        <v>0</v>
      </c>
      <c r="AT36">
        <v>0</v>
      </c>
      <c r="AU36">
        <v>0</v>
      </c>
      <c r="AV36">
        <v>0</v>
      </c>
      <c r="AW36" t="b">
        <v>0</v>
      </c>
      <c r="AX36" t="b">
        <v>0</v>
      </c>
      <c r="AY36" t="s">
        <v>79</v>
      </c>
      <c r="AZ36" t="b">
        <v>0</v>
      </c>
      <c r="BA36" t="s">
        <v>136</v>
      </c>
      <c r="BB36" t="s">
        <v>137</v>
      </c>
      <c r="BC36" t="s">
        <v>138</v>
      </c>
      <c r="BD36" t="b">
        <v>0</v>
      </c>
      <c r="BF36" t="b">
        <v>0</v>
      </c>
    </row>
    <row r="37" spans="1:58" x14ac:dyDescent="0.25">
      <c r="A37">
        <v>3.9</v>
      </c>
      <c r="B37">
        <v>26716</v>
      </c>
      <c r="C37" t="s">
        <v>126</v>
      </c>
      <c r="D37" t="s">
        <v>127</v>
      </c>
      <c r="E37">
        <v>0.5805555555555556</v>
      </c>
      <c r="F37" t="s">
        <v>139</v>
      </c>
      <c r="G37">
        <v>1</v>
      </c>
      <c r="H37">
        <v>10201</v>
      </c>
      <c r="K37" t="b">
        <v>1</v>
      </c>
      <c r="L37" t="s">
        <v>140</v>
      </c>
      <c r="M37">
        <v>16987</v>
      </c>
      <c r="N37" t="s">
        <v>130</v>
      </c>
      <c r="O37">
        <v>1787718372586</v>
      </c>
      <c r="P37" t="s">
        <v>65</v>
      </c>
      <c r="S37" t="s">
        <v>118</v>
      </c>
      <c r="T37" t="s">
        <v>67</v>
      </c>
      <c r="U37" t="s">
        <v>99</v>
      </c>
      <c r="V37">
        <v>19288</v>
      </c>
      <c r="W37" t="b">
        <v>0</v>
      </c>
      <c r="X37">
        <v>0</v>
      </c>
      <c r="Y37" t="s">
        <v>141</v>
      </c>
      <c r="Z37" t="b">
        <v>0</v>
      </c>
      <c r="AA37" t="s">
        <v>142</v>
      </c>
      <c r="AB37">
        <v>260826909019</v>
      </c>
      <c r="AC37" t="s">
        <v>134</v>
      </c>
      <c r="AD37" t="s">
        <v>134</v>
      </c>
      <c r="AE37">
        <v>10</v>
      </c>
      <c r="AF37">
        <v>8</v>
      </c>
      <c r="AG37" t="s">
        <v>91</v>
      </c>
      <c r="AH37" t="s">
        <v>118</v>
      </c>
      <c r="AI37" t="s">
        <v>74</v>
      </c>
      <c r="AJ37" t="s">
        <v>75</v>
      </c>
      <c r="AK37" t="s">
        <v>76</v>
      </c>
      <c r="AL37" t="s">
        <v>135</v>
      </c>
      <c r="AM37" t="s">
        <v>78</v>
      </c>
      <c r="AN37" t="b">
        <v>0</v>
      </c>
      <c r="AO37">
        <v>1019</v>
      </c>
      <c r="AP37" t="s">
        <v>65</v>
      </c>
      <c r="AQ37" t="b">
        <v>1</v>
      </c>
      <c r="AR37">
        <v>0</v>
      </c>
      <c r="AS37">
        <v>0</v>
      </c>
      <c r="AT37">
        <v>0</v>
      </c>
      <c r="AU37">
        <v>0</v>
      </c>
      <c r="AV37">
        <v>0</v>
      </c>
      <c r="AW37" t="b">
        <v>0</v>
      </c>
      <c r="AX37" t="b">
        <v>0</v>
      </c>
      <c r="AY37" t="s">
        <v>79</v>
      </c>
      <c r="AZ37" t="b">
        <v>0</v>
      </c>
      <c r="BA37" t="s">
        <v>136</v>
      </c>
      <c r="BB37" t="s">
        <v>143</v>
      </c>
      <c r="BC37" t="s">
        <v>138</v>
      </c>
      <c r="BD37" t="b">
        <v>0</v>
      </c>
      <c r="BF37" t="b">
        <v>0</v>
      </c>
    </row>
    <row r="38" spans="1:58" x14ac:dyDescent="0.25">
      <c r="A38">
        <v>3.9</v>
      </c>
      <c r="B38">
        <v>26716</v>
      </c>
      <c r="C38" t="s">
        <v>126</v>
      </c>
      <c r="D38" t="s">
        <v>127</v>
      </c>
      <c r="E38">
        <v>0.79583333333333328</v>
      </c>
      <c r="F38" t="s">
        <v>199</v>
      </c>
      <c r="G38">
        <v>1</v>
      </c>
      <c r="H38">
        <v>10201</v>
      </c>
      <c r="K38" t="b">
        <v>1</v>
      </c>
      <c r="L38" t="s">
        <v>200</v>
      </c>
      <c r="M38">
        <v>16987</v>
      </c>
      <c r="N38" t="s">
        <v>130</v>
      </c>
      <c r="O38">
        <v>1787218594529</v>
      </c>
      <c r="P38" t="s">
        <v>65</v>
      </c>
      <c r="S38" t="s">
        <v>191</v>
      </c>
      <c r="T38" t="s">
        <v>67</v>
      </c>
      <c r="U38" t="s">
        <v>201</v>
      </c>
      <c r="V38">
        <v>19288</v>
      </c>
      <c r="W38" t="b">
        <v>0</v>
      </c>
      <c r="X38">
        <v>0</v>
      </c>
      <c r="Y38" t="s">
        <v>202</v>
      </c>
      <c r="Z38" t="b">
        <v>0</v>
      </c>
      <c r="AA38" t="s">
        <v>203</v>
      </c>
      <c r="AB38">
        <v>200826923685</v>
      </c>
      <c r="AC38" t="s">
        <v>134</v>
      </c>
      <c r="AD38" t="s">
        <v>134</v>
      </c>
      <c r="AE38">
        <v>10</v>
      </c>
      <c r="AF38">
        <v>5</v>
      </c>
      <c r="AG38" t="s">
        <v>91</v>
      </c>
      <c r="AH38" t="s">
        <v>191</v>
      </c>
      <c r="AI38" t="s">
        <v>74</v>
      </c>
      <c r="AJ38" t="s">
        <v>75</v>
      </c>
      <c r="AK38" t="s">
        <v>76</v>
      </c>
      <c r="AL38" t="s">
        <v>135</v>
      </c>
      <c r="AM38" t="s">
        <v>78</v>
      </c>
      <c r="AN38" t="b">
        <v>0</v>
      </c>
      <c r="AO38">
        <v>1019</v>
      </c>
      <c r="AP38" t="s">
        <v>65</v>
      </c>
      <c r="AQ38" t="b">
        <v>1</v>
      </c>
      <c r="AR38">
        <v>0</v>
      </c>
      <c r="AS38">
        <v>0</v>
      </c>
      <c r="AT38">
        <v>0</v>
      </c>
      <c r="AU38">
        <v>0</v>
      </c>
      <c r="AV38">
        <v>0</v>
      </c>
      <c r="AW38" t="b">
        <v>0</v>
      </c>
      <c r="AX38" t="b">
        <v>0</v>
      </c>
      <c r="AY38" t="s">
        <v>79</v>
      </c>
      <c r="AZ38" t="b">
        <v>0</v>
      </c>
      <c r="BA38" t="s">
        <v>136</v>
      </c>
      <c r="BB38" t="s">
        <v>204</v>
      </c>
      <c r="BC38" t="s">
        <v>138</v>
      </c>
      <c r="BD38" t="b">
        <v>0</v>
      </c>
      <c r="BF38" t="b">
        <v>0</v>
      </c>
    </row>
    <row r="39" spans="1:58" x14ac:dyDescent="0.25">
      <c r="A39">
        <v>3.2</v>
      </c>
      <c r="B39">
        <v>118481</v>
      </c>
      <c r="C39" t="s">
        <v>144</v>
      </c>
      <c r="D39" t="s">
        <v>145</v>
      </c>
      <c r="E39">
        <v>0.8208333333333333</v>
      </c>
      <c r="G39">
        <v>1</v>
      </c>
      <c r="H39">
        <v>2949</v>
      </c>
      <c r="K39" t="b">
        <v>0</v>
      </c>
      <c r="M39">
        <v>892542</v>
      </c>
      <c r="N39" t="s">
        <v>146</v>
      </c>
      <c r="O39">
        <v>1787911934859</v>
      </c>
      <c r="P39" t="s">
        <v>65</v>
      </c>
      <c r="S39" t="s">
        <v>147</v>
      </c>
      <c r="T39" t="s">
        <v>67</v>
      </c>
      <c r="U39" t="s">
        <v>119</v>
      </c>
      <c r="V39">
        <v>223346</v>
      </c>
      <c r="W39" t="b">
        <v>0</v>
      </c>
      <c r="X39">
        <v>0</v>
      </c>
      <c r="Y39" t="s">
        <v>148</v>
      </c>
      <c r="Z39" t="b">
        <v>1</v>
      </c>
      <c r="AA39" t="s">
        <v>149</v>
      </c>
      <c r="AB39">
        <v>280826008430</v>
      </c>
      <c r="AC39" t="s">
        <v>150</v>
      </c>
      <c r="AD39" t="s">
        <v>150</v>
      </c>
      <c r="AE39">
        <v>10</v>
      </c>
      <c r="AF39">
        <v>6</v>
      </c>
      <c r="AG39" t="s">
        <v>91</v>
      </c>
      <c r="AH39" t="s">
        <v>147</v>
      </c>
      <c r="AI39" t="s">
        <v>74</v>
      </c>
      <c r="AJ39" t="s">
        <v>75</v>
      </c>
      <c r="AK39" t="s">
        <v>76</v>
      </c>
      <c r="AL39" t="s">
        <v>151</v>
      </c>
      <c r="AM39" t="s">
        <v>78</v>
      </c>
      <c r="AN39" t="b">
        <v>0</v>
      </c>
      <c r="AO39">
        <v>1019</v>
      </c>
      <c r="AP39" t="s">
        <v>65</v>
      </c>
      <c r="AQ39" t="b">
        <v>1</v>
      </c>
      <c r="AR39">
        <v>0</v>
      </c>
      <c r="AS39">
        <v>0</v>
      </c>
      <c r="AT39">
        <v>0</v>
      </c>
      <c r="AU39">
        <v>0</v>
      </c>
      <c r="AV39">
        <v>0</v>
      </c>
      <c r="AW39" t="b">
        <v>0</v>
      </c>
      <c r="AX39" t="b">
        <v>0</v>
      </c>
      <c r="AY39" t="s">
        <v>79</v>
      </c>
      <c r="AZ39" t="b">
        <v>0</v>
      </c>
      <c r="BA39" t="s">
        <v>152</v>
      </c>
      <c r="BB39" t="s">
        <v>153</v>
      </c>
      <c r="BC39" t="s">
        <v>82</v>
      </c>
      <c r="BD39" t="b">
        <v>0</v>
      </c>
      <c r="BF39" t="b">
        <v>0</v>
      </c>
    </row>
    <row r="40" spans="1:58" x14ac:dyDescent="0.25">
      <c r="A40">
        <v>3.7</v>
      </c>
      <c r="B40">
        <v>6800</v>
      </c>
      <c r="C40" t="s">
        <v>165</v>
      </c>
      <c r="D40" t="s">
        <v>166</v>
      </c>
      <c r="E40">
        <v>0.92569444444444449</v>
      </c>
      <c r="G40">
        <v>1</v>
      </c>
      <c r="H40">
        <v>2639</v>
      </c>
      <c r="K40" t="b">
        <v>0</v>
      </c>
      <c r="M40">
        <v>19934</v>
      </c>
      <c r="N40" t="s">
        <v>167</v>
      </c>
      <c r="O40">
        <v>1787316218988</v>
      </c>
      <c r="P40" t="s">
        <v>65</v>
      </c>
      <c r="S40" t="s">
        <v>168</v>
      </c>
      <c r="T40" t="s">
        <v>67</v>
      </c>
      <c r="U40" t="s">
        <v>169</v>
      </c>
      <c r="V40">
        <v>21746</v>
      </c>
      <c r="W40" t="b">
        <v>0</v>
      </c>
      <c r="X40">
        <v>0</v>
      </c>
      <c r="Y40" t="s">
        <v>170</v>
      </c>
      <c r="Z40" t="b">
        <v>1</v>
      </c>
      <c r="AA40" t="s">
        <v>171</v>
      </c>
      <c r="AB40">
        <v>210826932923</v>
      </c>
      <c r="AC40" t="s">
        <v>172</v>
      </c>
      <c r="AD40" t="s">
        <v>172</v>
      </c>
      <c r="AE40">
        <v>13</v>
      </c>
      <c r="AF40">
        <v>8</v>
      </c>
      <c r="AG40" t="s">
        <v>91</v>
      </c>
      <c r="AH40" t="s">
        <v>168</v>
      </c>
      <c r="AI40" t="s">
        <v>74</v>
      </c>
      <c r="AJ40" t="s">
        <v>75</v>
      </c>
      <c r="AK40" t="s">
        <v>76</v>
      </c>
      <c r="AL40" t="s">
        <v>135</v>
      </c>
      <c r="AM40" t="s">
        <v>78</v>
      </c>
      <c r="AN40" t="b">
        <v>0</v>
      </c>
      <c r="AO40">
        <v>1028</v>
      </c>
      <c r="AP40" t="s">
        <v>65</v>
      </c>
      <c r="AQ40" t="b">
        <v>1</v>
      </c>
      <c r="AR40">
        <v>0</v>
      </c>
      <c r="AS40">
        <v>0</v>
      </c>
      <c r="AT40">
        <v>0</v>
      </c>
      <c r="AU40">
        <v>0</v>
      </c>
      <c r="AV40">
        <v>0</v>
      </c>
      <c r="AW40" t="b">
        <v>0</v>
      </c>
      <c r="AX40" t="b">
        <v>0</v>
      </c>
      <c r="AY40" t="s">
        <v>79</v>
      </c>
      <c r="AZ40" t="b">
        <v>0</v>
      </c>
      <c r="BA40" t="s">
        <v>173</v>
      </c>
      <c r="BB40" t="s">
        <v>174</v>
      </c>
      <c r="BC40" t="s">
        <v>175</v>
      </c>
      <c r="BD40" t="b">
        <v>0</v>
      </c>
      <c r="BF40" t="b">
        <v>0</v>
      </c>
    </row>
    <row r="41" spans="1:58" x14ac:dyDescent="0.25">
      <c r="A41">
        <v>3.5</v>
      </c>
      <c r="B41">
        <v>50684</v>
      </c>
      <c r="C41" t="s">
        <v>205</v>
      </c>
      <c r="D41" t="s">
        <v>206</v>
      </c>
      <c r="E41">
        <v>0.90694444444444444</v>
      </c>
      <c r="G41">
        <v>1</v>
      </c>
      <c r="I41">
        <v>1</v>
      </c>
      <c r="J41" t="s">
        <v>207</v>
      </c>
      <c r="K41" t="b">
        <v>0</v>
      </c>
      <c r="M41">
        <v>124269780</v>
      </c>
      <c r="N41" t="s">
        <v>208</v>
      </c>
      <c r="O41">
        <v>1787573805796</v>
      </c>
      <c r="P41" t="s">
        <v>65</v>
      </c>
      <c r="Q41" t="s">
        <v>209</v>
      </c>
      <c r="R41" t="b">
        <v>0</v>
      </c>
      <c r="S41" t="s">
        <v>210</v>
      </c>
      <c r="T41" t="s">
        <v>67</v>
      </c>
      <c r="U41" t="s">
        <v>211</v>
      </c>
      <c r="V41">
        <v>13832</v>
      </c>
      <c r="W41" t="b">
        <v>0</v>
      </c>
      <c r="X41">
        <v>0</v>
      </c>
      <c r="Y41" t="s">
        <v>212</v>
      </c>
      <c r="Z41" t="b">
        <v>0</v>
      </c>
      <c r="AA41" t="s">
        <v>213</v>
      </c>
      <c r="AB41">
        <v>170826004896</v>
      </c>
      <c r="AC41" t="s">
        <v>214</v>
      </c>
      <c r="AD41" t="s">
        <v>214</v>
      </c>
      <c r="AE41">
        <v>8</v>
      </c>
      <c r="AF41">
        <v>5</v>
      </c>
      <c r="AG41" t="s">
        <v>91</v>
      </c>
      <c r="AH41" t="s">
        <v>210</v>
      </c>
      <c r="AI41" t="s">
        <v>74</v>
      </c>
      <c r="AJ41" t="s">
        <v>75</v>
      </c>
      <c r="AK41" t="s">
        <v>76</v>
      </c>
      <c r="AL41" t="s">
        <v>215</v>
      </c>
      <c r="AM41" t="s">
        <v>78</v>
      </c>
      <c r="AN41" t="b">
        <v>1</v>
      </c>
      <c r="AO41">
        <v>1028</v>
      </c>
      <c r="AP41" t="s">
        <v>65</v>
      </c>
      <c r="AQ41" t="b">
        <v>1</v>
      </c>
      <c r="AR41">
        <v>0</v>
      </c>
      <c r="AS41">
        <v>0</v>
      </c>
      <c r="AT41">
        <v>0</v>
      </c>
      <c r="AU41">
        <v>0</v>
      </c>
      <c r="AV41">
        <v>0</v>
      </c>
      <c r="AW41" t="b">
        <v>0</v>
      </c>
      <c r="AX41" t="b">
        <v>0</v>
      </c>
      <c r="AY41" t="s">
        <v>79</v>
      </c>
      <c r="AZ41" t="b">
        <v>0</v>
      </c>
      <c r="BA41" t="s">
        <v>216</v>
      </c>
      <c r="BB41" t="s">
        <v>217</v>
      </c>
      <c r="BC41" t="s">
        <v>218</v>
      </c>
      <c r="BD41" t="b">
        <v>0</v>
      </c>
      <c r="BE41">
        <v>1000</v>
      </c>
      <c r="BF41" t="b">
        <v>0</v>
      </c>
    </row>
    <row r="42" spans="1:58" x14ac:dyDescent="0.25">
      <c r="A42">
        <v>3.5</v>
      </c>
      <c r="B42">
        <v>50684</v>
      </c>
      <c r="C42" t="s">
        <v>205</v>
      </c>
      <c r="D42" t="s">
        <v>206</v>
      </c>
      <c r="E42">
        <v>0.56666666666666665</v>
      </c>
      <c r="G42">
        <v>1</v>
      </c>
      <c r="K42" t="b">
        <v>0</v>
      </c>
      <c r="M42">
        <v>124269780</v>
      </c>
      <c r="N42" t="s">
        <v>208</v>
      </c>
      <c r="O42">
        <v>1787025993463</v>
      </c>
      <c r="P42" t="s">
        <v>65</v>
      </c>
      <c r="S42" t="s">
        <v>191</v>
      </c>
      <c r="T42" t="s">
        <v>67</v>
      </c>
      <c r="U42" t="s">
        <v>219</v>
      </c>
      <c r="V42">
        <v>13832</v>
      </c>
      <c r="W42" t="b">
        <v>0</v>
      </c>
      <c r="X42">
        <v>0</v>
      </c>
      <c r="Y42" t="s">
        <v>220</v>
      </c>
      <c r="Z42" t="b">
        <v>1</v>
      </c>
      <c r="AA42" t="s">
        <v>221</v>
      </c>
      <c r="AB42">
        <v>180826009185</v>
      </c>
      <c r="AC42" t="s">
        <v>214</v>
      </c>
      <c r="AD42" t="s">
        <v>214</v>
      </c>
      <c r="AE42">
        <v>10</v>
      </c>
      <c r="AF42">
        <v>5</v>
      </c>
      <c r="AG42" t="s">
        <v>91</v>
      </c>
      <c r="AH42" t="s">
        <v>191</v>
      </c>
      <c r="AI42" t="s">
        <v>74</v>
      </c>
      <c r="AJ42" t="s">
        <v>75</v>
      </c>
      <c r="AK42" t="s">
        <v>76</v>
      </c>
      <c r="AL42" t="s">
        <v>222</v>
      </c>
      <c r="AM42" t="s">
        <v>78</v>
      </c>
      <c r="AN42" t="b">
        <v>1</v>
      </c>
      <c r="AO42">
        <v>1028</v>
      </c>
      <c r="AP42" t="s">
        <v>65</v>
      </c>
      <c r="AQ42" t="b">
        <v>1</v>
      </c>
      <c r="AR42">
        <v>0</v>
      </c>
      <c r="AS42">
        <v>0</v>
      </c>
      <c r="AT42">
        <v>0</v>
      </c>
      <c r="AU42">
        <v>0</v>
      </c>
      <c r="AV42">
        <v>0</v>
      </c>
      <c r="AW42" t="b">
        <v>0</v>
      </c>
      <c r="AX42" t="b">
        <v>0</v>
      </c>
      <c r="AY42" t="s">
        <v>79</v>
      </c>
      <c r="AZ42" t="b">
        <v>0</v>
      </c>
      <c r="BA42" t="s">
        <v>216</v>
      </c>
      <c r="BB42" t="s">
        <v>223</v>
      </c>
      <c r="BC42" t="s">
        <v>224</v>
      </c>
      <c r="BD42" t="b">
        <v>0</v>
      </c>
      <c r="BE42">
        <v>100</v>
      </c>
      <c r="BF42" t="b">
        <v>0</v>
      </c>
    </row>
    <row r="43" spans="1:58" x14ac:dyDescent="0.25">
      <c r="A43">
        <v>3.4</v>
      </c>
      <c r="B43">
        <v>47884</v>
      </c>
      <c r="C43" t="s">
        <v>83</v>
      </c>
      <c r="D43" t="s">
        <v>84</v>
      </c>
      <c r="E43">
        <v>0.62777777777777777</v>
      </c>
      <c r="G43">
        <v>1</v>
      </c>
      <c r="H43">
        <v>3730</v>
      </c>
      <c r="K43" t="b">
        <v>0</v>
      </c>
      <c r="M43">
        <v>2904476</v>
      </c>
      <c r="N43" t="s">
        <v>85</v>
      </c>
      <c r="O43">
        <v>1787808879920</v>
      </c>
      <c r="P43" t="s">
        <v>65</v>
      </c>
      <c r="S43" t="s">
        <v>86</v>
      </c>
      <c r="T43" t="s">
        <v>67</v>
      </c>
      <c r="U43" t="s">
        <v>87</v>
      </c>
      <c r="V43">
        <v>194354</v>
      </c>
      <c r="W43" t="b">
        <v>0</v>
      </c>
      <c r="X43">
        <v>0</v>
      </c>
      <c r="Y43" t="s">
        <v>88</v>
      </c>
      <c r="Z43" t="b">
        <v>1</v>
      </c>
      <c r="AA43" t="s">
        <v>89</v>
      </c>
      <c r="AB43">
        <v>270826010477</v>
      </c>
      <c r="AC43" t="s">
        <v>90</v>
      </c>
      <c r="AD43" t="s">
        <v>90</v>
      </c>
      <c r="AE43">
        <v>7</v>
      </c>
      <c r="AF43">
        <v>4</v>
      </c>
      <c r="AG43" t="s">
        <v>91</v>
      </c>
      <c r="AH43" t="s">
        <v>86</v>
      </c>
      <c r="AI43" t="s">
        <v>74</v>
      </c>
      <c r="AJ43" t="s">
        <v>75</v>
      </c>
      <c r="AK43" t="s">
        <v>76</v>
      </c>
      <c r="AL43" t="s">
        <v>92</v>
      </c>
      <c r="AM43" t="s">
        <v>78</v>
      </c>
      <c r="AN43" t="b">
        <v>1</v>
      </c>
      <c r="AO43">
        <v>1020</v>
      </c>
      <c r="AP43" t="s">
        <v>65</v>
      </c>
      <c r="AQ43" t="b">
        <v>1</v>
      </c>
      <c r="AR43">
        <v>0</v>
      </c>
      <c r="AS43">
        <v>0</v>
      </c>
      <c r="AT43">
        <v>0</v>
      </c>
      <c r="AU43">
        <v>0</v>
      </c>
      <c r="AV43">
        <v>0</v>
      </c>
      <c r="AW43" t="b">
        <v>0</v>
      </c>
      <c r="AX43" t="b">
        <v>0</v>
      </c>
      <c r="AY43" t="s">
        <v>79</v>
      </c>
      <c r="AZ43" t="b">
        <v>0</v>
      </c>
      <c r="BA43" t="s">
        <v>93</v>
      </c>
      <c r="BB43" t="s">
        <v>94</v>
      </c>
      <c r="BC43" t="s">
        <v>82</v>
      </c>
      <c r="BD43" t="b">
        <v>0</v>
      </c>
      <c r="BF43" t="b">
        <v>0</v>
      </c>
    </row>
    <row r="44" spans="1:58" x14ac:dyDescent="0.25">
      <c r="A44">
        <v>3.8</v>
      </c>
      <c r="B44">
        <v>717</v>
      </c>
      <c r="C44" t="s">
        <v>225</v>
      </c>
      <c r="D44" t="s">
        <v>226</v>
      </c>
      <c r="E44">
        <v>0.67569444444444449</v>
      </c>
      <c r="G44">
        <v>1</v>
      </c>
      <c r="K44" t="b">
        <v>0</v>
      </c>
      <c r="M44">
        <v>114714</v>
      </c>
      <c r="N44" t="s">
        <v>227</v>
      </c>
      <c r="O44">
        <v>1787294628965</v>
      </c>
      <c r="P44" t="s">
        <v>65</v>
      </c>
      <c r="S44" t="s">
        <v>191</v>
      </c>
      <c r="T44" t="s">
        <v>67</v>
      </c>
      <c r="U44" t="s">
        <v>228</v>
      </c>
      <c r="V44">
        <v>4586641</v>
      </c>
      <c r="W44" t="b">
        <v>0</v>
      </c>
      <c r="X44">
        <v>0</v>
      </c>
      <c r="Y44" t="s">
        <v>229</v>
      </c>
      <c r="Z44" t="b">
        <v>1</v>
      </c>
      <c r="AA44" t="s">
        <v>230</v>
      </c>
      <c r="AB44">
        <v>210826009532</v>
      </c>
      <c r="AC44" t="s">
        <v>231</v>
      </c>
      <c r="AD44" t="s">
        <v>231</v>
      </c>
      <c r="AE44">
        <v>10</v>
      </c>
      <c r="AF44">
        <v>5</v>
      </c>
      <c r="AG44" t="s">
        <v>91</v>
      </c>
      <c r="AH44" t="s">
        <v>191</v>
      </c>
      <c r="AI44" t="s">
        <v>74</v>
      </c>
      <c r="AJ44" t="s">
        <v>75</v>
      </c>
      <c r="AK44" t="s">
        <v>76</v>
      </c>
      <c r="AL44" t="s">
        <v>232</v>
      </c>
      <c r="AM44" t="s">
        <v>78</v>
      </c>
      <c r="AN44" t="b">
        <v>1</v>
      </c>
      <c r="AO44">
        <v>1082</v>
      </c>
      <c r="AP44" t="s">
        <v>65</v>
      </c>
      <c r="AQ44" t="b">
        <v>1</v>
      </c>
      <c r="AR44">
        <v>0</v>
      </c>
      <c r="AS44">
        <v>0</v>
      </c>
      <c r="AT44">
        <v>0</v>
      </c>
      <c r="AU44">
        <v>0</v>
      </c>
      <c r="AV44">
        <v>0</v>
      </c>
      <c r="AW44" t="b">
        <v>0</v>
      </c>
      <c r="AX44" t="b">
        <v>0</v>
      </c>
      <c r="AY44" t="s">
        <v>79</v>
      </c>
      <c r="AZ44" t="b">
        <v>0</v>
      </c>
      <c r="BA44" t="s">
        <v>233</v>
      </c>
      <c r="BB44" t="s">
        <v>234</v>
      </c>
      <c r="BC44" t="s">
        <v>82</v>
      </c>
      <c r="BD44" t="b">
        <v>0</v>
      </c>
      <c r="BF44" t="b">
        <v>0</v>
      </c>
    </row>
    <row r="45" spans="1:58" x14ac:dyDescent="0.25">
      <c r="A45">
        <v>2.8</v>
      </c>
      <c r="B45">
        <v>98</v>
      </c>
      <c r="C45" t="s">
        <v>235</v>
      </c>
      <c r="D45" t="s">
        <v>236</v>
      </c>
      <c r="E45">
        <v>0.65069444444444446</v>
      </c>
      <c r="G45">
        <v>1</v>
      </c>
      <c r="H45">
        <v>16255</v>
      </c>
      <c r="K45" t="b">
        <v>0</v>
      </c>
      <c r="M45">
        <v>4804684</v>
      </c>
      <c r="N45" t="s">
        <v>237</v>
      </c>
      <c r="O45">
        <v>1787638049264</v>
      </c>
      <c r="P45" t="s">
        <v>65</v>
      </c>
      <c r="S45" t="s">
        <v>238</v>
      </c>
      <c r="T45" t="s">
        <v>67</v>
      </c>
      <c r="U45" t="s">
        <v>239</v>
      </c>
      <c r="V45">
        <v>4582011</v>
      </c>
      <c r="W45" t="b">
        <v>0</v>
      </c>
      <c r="X45">
        <v>0</v>
      </c>
      <c r="Y45" t="s">
        <v>240</v>
      </c>
      <c r="Z45" t="b">
        <v>1</v>
      </c>
      <c r="AA45" t="s">
        <v>241</v>
      </c>
      <c r="AB45">
        <v>250826012754</v>
      </c>
      <c r="AC45" t="s">
        <v>242</v>
      </c>
      <c r="AD45" t="s">
        <v>242</v>
      </c>
      <c r="AE45">
        <v>5</v>
      </c>
      <c r="AF45">
        <v>2</v>
      </c>
      <c r="AG45" t="s">
        <v>91</v>
      </c>
      <c r="AH45" t="s">
        <v>238</v>
      </c>
      <c r="AI45" t="s">
        <v>74</v>
      </c>
      <c r="AJ45" t="s">
        <v>75</v>
      </c>
      <c r="AK45" t="s">
        <v>76</v>
      </c>
      <c r="AL45" t="s">
        <v>135</v>
      </c>
      <c r="AM45" t="s">
        <v>78</v>
      </c>
      <c r="AN45" t="b">
        <v>1</v>
      </c>
      <c r="AO45">
        <v>1045</v>
      </c>
      <c r="AP45" t="s">
        <v>65</v>
      </c>
      <c r="AQ45" t="b">
        <v>1</v>
      </c>
      <c r="AR45">
        <v>0</v>
      </c>
      <c r="AS45">
        <v>0</v>
      </c>
      <c r="AT45">
        <v>0</v>
      </c>
      <c r="AU45">
        <v>0</v>
      </c>
      <c r="AV45">
        <v>0</v>
      </c>
      <c r="AW45" t="b">
        <v>0</v>
      </c>
      <c r="AX45" t="b">
        <v>0</v>
      </c>
      <c r="AY45" t="s">
        <v>79</v>
      </c>
      <c r="AZ45" t="b">
        <v>0</v>
      </c>
      <c r="BA45" t="s">
        <v>243</v>
      </c>
      <c r="BB45" t="s">
        <v>244</v>
      </c>
      <c r="BC45" t="s">
        <v>82</v>
      </c>
      <c r="BD45" t="b">
        <v>0</v>
      </c>
      <c r="BF45" t="b">
        <v>0</v>
      </c>
    </row>
    <row r="46" spans="1:58" x14ac:dyDescent="0.25">
      <c r="A46">
        <v>3.9</v>
      </c>
      <c r="B46">
        <v>4437</v>
      </c>
      <c r="C46" t="s">
        <v>245</v>
      </c>
      <c r="D46" t="s">
        <v>246</v>
      </c>
      <c r="E46">
        <v>0.89583333333333337</v>
      </c>
      <c r="G46">
        <v>1</v>
      </c>
      <c r="K46" t="b">
        <v>0</v>
      </c>
      <c r="M46">
        <v>3974784</v>
      </c>
      <c r="N46" t="s">
        <v>247</v>
      </c>
      <c r="O46">
        <v>1787659232918</v>
      </c>
      <c r="P46" t="s">
        <v>65</v>
      </c>
      <c r="S46" t="s">
        <v>181</v>
      </c>
      <c r="T46" t="s">
        <v>67</v>
      </c>
      <c r="U46" t="s">
        <v>239</v>
      </c>
      <c r="V46">
        <v>4608615</v>
      </c>
      <c r="W46" t="b">
        <v>0</v>
      </c>
      <c r="X46">
        <v>0</v>
      </c>
      <c r="Y46" t="s">
        <v>248</v>
      </c>
      <c r="Z46" t="b">
        <v>1</v>
      </c>
      <c r="AA46" t="s">
        <v>249</v>
      </c>
      <c r="AB46">
        <v>170426013396</v>
      </c>
      <c r="AC46" t="s">
        <v>250</v>
      </c>
      <c r="AD46" t="s">
        <v>250</v>
      </c>
      <c r="AE46">
        <v>7</v>
      </c>
      <c r="AF46">
        <v>3</v>
      </c>
      <c r="AG46" t="s">
        <v>91</v>
      </c>
      <c r="AH46" t="s">
        <v>181</v>
      </c>
      <c r="AI46" t="s">
        <v>74</v>
      </c>
      <c r="AJ46" t="s">
        <v>75</v>
      </c>
      <c r="AK46" t="s">
        <v>76</v>
      </c>
      <c r="AL46" t="s">
        <v>251</v>
      </c>
      <c r="AM46" t="s">
        <v>78</v>
      </c>
      <c r="AN46" t="b">
        <v>1</v>
      </c>
      <c r="AO46">
        <v>1019</v>
      </c>
      <c r="AP46" t="s">
        <v>65</v>
      </c>
      <c r="AQ46" t="b">
        <v>1</v>
      </c>
      <c r="AR46">
        <v>0</v>
      </c>
      <c r="AS46">
        <v>0</v>
      </c>
      <c r="AT46">
        <v>0</v>
      </c>
      <c r="AU46">
        <v>0</v>
      </c>
      <c r="AV46">
        <v>0</v>
      </c>
      <c r="AW46" t="b">
        <v>0</v>
      </c>
      <c r="AX46" t="b">
        <v>0</v>
      </c>
      <c r="AY46" t="s">
        <v>79</v>
      </c>
      <c r="AZ46" t="b">
        <v>0</v>
      </c>
      <c r="BA46" t="s">
        <v>252</v>
      </c>
      <c r="BB46" t="s">
        <v>253</v>
      </c>
      <c r="BC46" t="s">
        <v>224</v>
      </c>
      <c r="BD46" t="b">
        <v>0</v>
      </c>
      <c r="BE46">
        <v>3</v>
      </c>
      <c r="BF46" t="b">
        <v>0</v>
      </c>
    </row>
    <row r="47" spans="1:58" x14ac:dyDescent="0.25">
      <c r="A47">
        <v>3.2</v>
      </c>
      <c r="B47">
        <v>118481</v>
      </c>
      <c r="C47" t="s">
        <v>144</v>
      </c>
      <c r="D47" t="s">
        <v>145</v>
      </c>
      <c r="E47">
        <v>0.8208333333333333</v>
      </c>
      <c r="G47">
        <v>1</v>
      </c>
      <c r="H47">
        <v>2949</v>
      </c>
      <c r="K47" t="b">
        <v>0</v>
      </c>
      <c r="M47">
        <v>892542</v>
      </c>
      <c r="N47" t="s">
        <v>146</v>
      </c>
      <c r="O47">
        <v>1787911934859</v>
      </c>
      <c r="P47" t="s">
        <v>65</v>
      </c>
      <c r="S47" t="s">
        <v>147</v>
      </c>
      <c r="T47" t="s">
        <v>67</v>
      </c>
      <c r="U47" t="s">
        <v>119</v>
      </c>
      <c r="V47">
        <v>223346</v>
      </c>
      <c r="W47" t="b">
        <v>0</v>
      </c>
      <c r="X47">
        <v>0</v>
      </c>
      <c r="Y47" t="s">
        <v>148</v>
      </c>
      <c r="Z47" t="b">
        <v>1</v>
      </c>
      <c r="AA47" t="s">
        <v>149</v>
      </c>
      <c r="AB47">
        <v>280826008430</v>
      </c>
      <c r="AC47" t="s">
        <v>150</v>
      </c>
      <c r="AD47" t="s">
        <v>150</v>
      </c>
      <c r="AE47">
        <v>10</v>
      </c>
      <c r="AF47">
        <v>6</v>
      </c>
      <c r="AG47" t="s">
        <v>91</v>
      </c>
      <c r="AH47" t="s">
        <v>147</v>
      </c>
      <c r="AI47" t="s">
        <v>74</v>
      </c>
      <c r="AJ47" t="s">
        <v>75</v>
      </c>
      <c r="AK47" t="s">
        <v>76</v>
      </c>
      <c r="AL47" t="s">
        <v>151</v>
      </c>
      <c r="AM47" t="s">
        <v>78</v>
      </c>
      <c r="AN47" t="b">
        <v>0</v>
      </c>
      <c r="AO47">
        <v>1019</v>
      </c>
      <c r="AP47" t="s">
        <v>65</v>
      </c>
      <c r="AQ47" t="b">
        <v>1</v>
      </c>
      <c r="AR47">
        <v>0</v>
      </c>
      <c r="AS47">
        <v>0</v>
      </c>
      <c r="AT47">
        <v>0</v>
      </c>
      <c r="AU47">
        <v>0</v>
      </c>
      <c r="AV47">
        <v>0</v>
      </c>
      <c r="AW47" t="b">
        <v>0</v>
      </c>
      <c r="AX47" t="b">
        <v>0</v>
      </c>
      <c r="AY47" t="s">
        <v>79</v>
      </c>
      <c r="AZ47" t="b">
        <v>0</v>
      </c>
      <c r="BA47" t="s">
        <v>152</v>
      </c>
      <c r="BB47" t="s">
        <v>153</v>
      </c>
      <c r="BC47" t="s">
        <v>82</v>
      </c>
      <c r="BD47" t="b">
        <v>0</v>
      </c>
      <c r="BF47" t="b">
        <v>0</v>
      </c>
    </row>
    <row r="48" spans="1:58" x14ac:dyDescent="0.25">
      <c r="A48">
        <v>3.5</v>
      </c>
      <c r="B48">
        <v>50684</v>
      </c>
      <c r="C48" t="s">
        <v>205</v>
      </c>
      <c r="D48" t="s">
        <v>206</v>
      </c>
      <c r="E48">
        <v>0.90694444444444444</v>
      </c>
      <c r="G48">
        <v>1</v>
      </c>
      <c r="I48">
        <v>1</v>
      </c>
      <c r="J48" t="s">
        <v>207</v>
      </c>
      <c r="K48" t="b">
        <v>0</v>
      </c>
      <c r="M48">
        <v>124269780</v>
      </c>
      <c r="N48" t="s">
        <v>208</v>
      </c>
      <c r="O48">
        <v>1787573805796</v>
      </c>
      <c r="P48" t="s">
        <v>65</v>
      </c>
      <c r="Q48" t="s">
        <v>209</v>
      </c>
      <c r="R48" t="b">
        <v>0</v>
      </c>
      <c r="S48" t="s">
        <v>210</v>
      </c>
      <c r="T48" t="s">
        <v>67</v>
      </c>
      <c r="U48" t="s">
        <v>211</v>
      </c>
      <c r="V48">
        <v>13832</v>
      </c>
      <c r="W48" t="b">
        <v>0</v>
      </c>
      <c r="X48">
        <v>0</v>
      </c>
      <c r="Y48" t="s">
        <v>212</v>
      </c>
      <c r="Z48" t="b">
        <v>0</v>
      </c>
      <c r="AA48" t="s">
        <v>213</v>
      </c>
      <c r="AB48">
        <v>170826004896</v>
      </c>
      <c r="AC48" t="s">
        <v>214</v>
      </c>
      <c r="AD48" t="s">
        <v>214</v>
      </c>
      <c r="AE48">
        <v>8</v>
      </c>
      <c r="AF48">
        <v>5</v>
      </c>
      <c r="AG48" t="s">
        <v>91</v>
      </c>
      <c r="AH48" t="s">
        <v>210</v>
      </c>
      <c r="AI48" t="s">
        <v>74</v>
      </c>
      <c r="AJ48" t="s">
        <v>75</v>
      </c>
      <c r="AK48" t="s">
        <v>76</v>
      </c>
      <c r="AL48" t="s">
        <v>215</v>
      </c>
      <c r="AM48" t="s">
        <v>78</v>
      </c>
      <c r="AN48" t="b">
        <v>1</v>
      </c>
      <c r="AO48">
        <v>1028</v>
      </c>
      <c r="AP48" t="s">
        <v>65</v>
      </c>
      <c r="AQ48" t="b">
        <v>1</v>
      </c>
      <c r="AR48">
        <v>0</v>
      </c>
      <c r="AS48">
        <v>0</v>
      </c>
      <c r="AT48">
        <v>0</v>
      </c>
      <c r="AU48">
        <v>0</v>
      </c>
      <c r="AV48">
        <v>0</v>
      </c>
      <c r="AW48" t="b">
        <v>0</v>
      </c>
      <c r="AX48" t="b">
        <v>0</v>
      </c>
      <c r="AY48" t="s">
        <v>79</v>
      </c>
      <c r="AZ48" t="b">
        <v>0</v>
      </c>
      <c r="BA48" t="s">
        <v>216</v>
      </c>
      <c r="BB48" t="s">
        <v>217</v>
      </c>
      <c r="BC48" t="s">
        <v>218</v>
      </c>
      <c r="BD48" t="b">
        <v>0</v>
      </c>
      <c r="BE48">
        <v>1000</v>
      </c>
      <c r="BF48" t="b">
        <v>0</v>
      </c>
    </row>
    <row r="49" spans="1:58" x14ac:dyDescent="0.25">
      <c r="A49">
        <v>3.5</v>
      </c>
      <c r="B49">
        <v>50684</v>
      </c>
      <c r="C49" t="s">
        <v>205</v>
      </c>
      <c r="D49" t="s">
        <v>206</v>
      </c>
      <c r="E49">
        <v>0.90694444444444444</v>
      </c>
      <c r="G49">
        <v>1</v>
      </c>
      <c r="K49" t="b">
        <v>0</v>
      </c>
      <c r="M49">
        <v>124269780</v>
      </c>
      <c r="N49" t="s">
        <v>208</v>
      </c>
      <c r="O49">
        <v>1787573809755</v>
      </c>
      <c r="P49" t="s">
        <v>65</v>
      </c>
      <c r="S49" t="s">
        <v>254</v>
      </c>
      <c r="T49" t="s">
        <v>67</v>
      </c>
      <c r="U49" t="s">
        <v>211</v>
      </c>
      <c r="V49">
        <v>13832</v>
      </c>
      <c r="W49" t="b">
        <v>0</v>
      </c>
      <c r="X49">
        <v>0</v>
      </c>
      <c r="Y49" t="s">
        <v>255</v>
      </c>
      <c r="Z49" t="b">
        <v>1</v>
      </c>
      <c r="AA49" t="s">
        <v>213</v>
      </c>
      <c r="AB49">
        <v>170826030661</v>
      </c>
      <c r="AC49" t="s">
        <v>214</v>
      </c>
      <c r="AD49" t="s">
        <v>214</v>
      </c>
      <c r="AE49">
        <v>11</v>
      </c>
      <c r="AF49">
        <v>9</v>
      </c>
      <c r="AG49" t="s">
        <v>91</v>
      </c>
      <c r="AH49" t="s">
        <v>254</v>
      </c>
      <c r="AI49" t="s">
        <v>74</v>
      </c>
      <c r="AJ49" t="s">
        <v>75</v>
      </c>
      <c r="AK49" t="s">
        <v>76</v>
      </c>
      <c r="AL49" t="s">
        <v>215</v>
      </c>
      <c r="AM49" t="s">
        <v>78</v>
      </c>
      <c r="AN49" t="b">
        <v>1</v>
      </c>
      <c r="AO49">
        <v>1028</v>
      </c>
      <c r="AP49" t="s">
        <v>65</v>
      </c>
      <c r="AQ49" t="b">
        <v>1</v>
      </c>
      <c r="AR49">
        <v>0</v>
      </c>
      <c r="AS49">
        <v>0</v>
      </c>
      <c r="AT49">
        <v>0</v>
      </c>
      <c r="AU49">
        <v>0</v>
      </c>
      <c r="AV49">
        <v>0</v>
      </c>
      <c r="AW49" t="b">
        <v>0</v>
      </c>
      <c r="AX49" t="b">
        <v>0</v>
      </c>
      <c r="AY49" t="s">
        <v>79</v>
      </c>
      <c r="AZ49" t="b">
        <v>0</v>
      </c>
      <c r="BA49" t="s">
        <v>216</v>
      </c>
      <c r="BB49" t="s">
        <v>217</v>
      </c>
      <c r="BC49" t="s">
        <v>218</v>
      </c>
      <c r="BD49" t="b">
        <v>0</v>
      </c>
      <c r="BE49">
        <v>1000</v>
      </c>
      <c r="BF49" t="b">
        <v>0</v>
      </c>
    </row>
    <row r="50" spans="1:58" x14ac:dyDescent="0.25">
      <c r="A50">
        <v>3.6</v>
      </c>
      <c r="B50">
        <v>27553</v>
      </c>
      <c r="C50" t="s">
        <v>256</v>
      </c>
      <c r="D50" t="s">
        <v>257</v>
      </c>
      <c r="E50">
        <v>0.62916666666666665</v>
      </c>
      <c r="G50">
        <v>1</v>
      </c>
      <c r="K50" t="b">
        <v>0</v>
      </c>
      <c r="M50">
        <v>124141072</v>
      </c>
      <c r="N50" t="s">
        <v>258</v>
      </c>
      <c r="O50">
        <v>1787808986220</v>
      </c>
      <c r="P50" t="s">
        <v>65</v>
      </c>
      <c r="S50" t="s">
        <v>259</v>
      </c>
      <c r="T50" t="s">
        <v>67</v>
      </c>
      <c r="U50" t="s">
        <v>87</v>
      </c>
      <c r="V50">
        <v>7519247</v>
      </c>
      <c r="W50" t="b">
        <v>0</v>
      </c>
      <c r="X50">
        <v>0</v>
      </c>
      <c r="Y50" t="s">
        <v>260</v>
      </c>
      <c r="Z50" t="b">
        <v>1</v>
      </c>
      <c r="AA50" t="s">
        <v>261</v>
      </c>
      <c r="AB50">
        <v>270826010600</v>
      </c>
      <c r="AC50" t="s">
        <v>262</v>
      </c>
      <c r="AD50" t="s">
        <v>262</v>
      </c>
      <c r="AE50">
        <v>11</v>
      </c>
      <c r="AF50">
        <v>6</v>
      </c>
      <c r="AG50" t="s">
        <v>91</v>
      </c>
      <c r="AH50" t="s">
        <v>259</v>
      </c>
      <c r="AI50" t="s">
        <v>74</v>
      </c>
      <c r="AJ50" t="s">
        <v>263</v>
      </c>
      <c r="AK50" t="s">
        <v>76</v>
      </c>
      <c r="AL50" t="s">
        <v>264</v>
      </c>
      <c r="AM50" t="s">
        <v>78</v>
      </c>
      <c r="AN50" t="b">
        <v>1</v>
      </c>
      <c r="AO50">
        <v>1019</v>
      </c>
      <c r="AP50" t="s">
        <v>65</v>
      </c>
      <c r="AQ50" t="b">
        <v>0</v>
      </c>
      <c r="AS50">
        <v>2000000</v>
      </c>
      <c r="AU50">
        <v>1000000</v>
      </c>
      <c r="AV50">
        <v>0</v>
      </c>
      <c r="AW50" t="b">
        <v>0</v>
      </c>
      <c r="AX50" t="b">
        <v>0</v>
      </c>
      <c r="AY50" t="s">
        <v>79</v>
      </c>
      <c r="AZ50" t="b">
        <v>0</v>
      </c>
      <c r="BA50" t="s">
        <v>265</v>
      </c>
      <c r="BB50" t="s">
        <v>266</v>
      </c>
      <c r="BC50" t="s">
        <v>82</v>
      </c>
      <c r="BD50" t="b">
        <v>0</v>
      </c>
      <c r="BE50">
        <v>20</v>
      </c>
      <c r="BF50" t="b">
        <v>0</v>
      </c>
    </row>
    <row r="51" spans="1:58" x14ac:dyDescent="0.25">
      <c r="A51">
        <v>3.5</v>
      </c>
      <c r="B51">
        <v>50684</v>
      </c>
      <c r="C51" t="s">
        <v>205</v>
      </c>
      <c r="D51" t="s">
        <v>206</v>
      </c>
      <c r="E51">
        <v>0.90694444444444444</v>
      </c>
      <c r="G51">
        <v>1</v>
      </c>
      <c r="K51" t="b">
        <v>0</v>
      </c>
      <c r="M51">
        <v>124269780</v>
      </c>
      <c r="N51" t="s">
        <v>208</v>
      </c>
      <c r="O51">
        <v>1787573816905</v>
      </c>
      <c r="P51" t="s">
        <v>65</v>
      </c>
      <c r="S51" t="s">
        <v>267</v>
      </c>
      <c r="T51" t="s">
        <v>67</v>
      </c>
      <c r="U51" t="s">
        <v>211</v>
      </c>
      <c r="V51">
        <v>13832</v>
      </c>
      <c r="W51" t="b">
        <v>0</v>
      </c>
      <c r="X51">
        <v>0</v>
      </c>
      <c r="Y51" t="s">
        <v>268</v>
      </c>
      <c r="Z51" t="b">
        <v>1</v>
      </c>
      <c r="AA51" t="s">
        <v>213</v>
      </c>
      <c r="AB51">
        <v>170826030591</v>
      </c>
      <c r="AC51" t="s">
        <v>214</v>
      </c>
      <c r="AD51" t="s">
        <v>214</v>
      </c>
      <c r="AE51">
        <v>9</v>
      </c>
      <c r="AF51">
        <v>7</v>
      </c>
      <c r="AG51" t="s">
        <v>91</v>
      </c>
      <c r="AH51" t="s">
        <v>267</v>
      </c>
      <c r="AI51" t="s">
        <v>74</v>
      </c>
      <c r="AJ51" t="s">
        <v>75</v>
      </c>
      <c r="AK51" t="s">
        <v>76</v>
      </c>
      <c r="AL51" t="s">
        <v>215</v>
      </c>
      <c r="AM51" t="s">
        <v>78</v>
      </c>
      <c r="AN51" t="b">
        <v>1</v>
      </c>
      <c r="AO51">
        <v>1028</v>
      </c>
      <c r="AP51" t="s">
        <v>65</v>
      </c>
      <c r="AQ51" t="b">
        <v>1</v>
      </c>
      <c r="AR51">
        <v>0</v>
      </c>
      <c r="AS51">
        <v>0</v>
      </c>
      <c r="AT51">
        <v>0</v>
      </c>
      <c r="AU51">
        <v>0</v>
      </c>
      <c r="AV51">
        <v>0</v>
      </c>
      <c r="AW51" t="b">
        <v>0</v>
      </c>
      <c r="AX51" t="b">
        <v>0</v>
      </c>
      <c r="AY51" t="s">
        <v>79</v>
      </c>
      <c r="AZ51" t="b">
        <v>0</v>
      </c>
      <c r="BA51" t="s">
        <v>216</v>
      </c>
      <c r="BB51" t="s">
        <v>217</v>
      </c>
      <c r="BC51" t="s">
        <v>218</v>
      </c>
      <c r="BD51" t="b">
        <v>0</v>
      </c>
      <c r="BE51">
        <v>1000</v>
      </c>
      <c r="BF51" t="b">
        <v>0</v>
      </c>
    </row>
    <row r="52" spans="1:58" x14ac:dyDescent="0.25">
      <c r="A52">
        <v>3.6</v>
      </c>
      <c r="B52">
        <v>55803</v>
      </c>
      <c r="C52" t="s">
        <v>269</v>
      </c>
      <c r="D52" t="s">
        <v>270</v>
      </c>
      <c r="E52">
        <v>0.58402777777777781</v>
      </c>
      <c r="G52">
        <v>1</v>
      </c>
      <c r="K52" t="b">
        <v>0</v>
      </c>
      <c r="M52">
        <v>7053</v>
      </c>
      <c r="N52" t="s">
        <v>271</v>
      </c>
      <c r="O52">
        <v>1787891469293</v>
      </c>
      <c r="P52" t="s">
        <v>65</v>
      </c>
      <c r="S52" t="s">
        <v>147</v>
      </c>
      <c r="T52" t="s">
        <v>67</v>
      </c>
      <c r="U52" t="s">
        <v>119</v>
      </c>
      <c r="V52">
        <v>1288</v>
      </c>
      <c r="W52" t="b">
        <v>0</v>
      </c>
      <c r="X52">
        <v>0</v>
      </c>
      <c r="Y52" t="s">
        <v>272</v>
      </c>
      <c r="Z52" t="b">
        <v>1</v>
      </c>
      <c r="AA52" t="s">
        <v>273</v>
      </c>
      <c r="AB52">
        <v>280826002654</v>
      </c>
      <c r="AC52" t="s">
        <v>274</v>
      </c>
      <c r="AD52" t="s">
        <v>274</v>
      </c>
      <c r="AE52">
        <v>10</v>
      </c>
      <c r="AF52">
        <v>6</v>
      </c>
      <c r="AG52" t="s">
        <v>91</v>
      </c>
      <c r="AH52" t="s">
        <v>147</v>
      </c>
      <c r="AI52" t="s">
        <v>74</v>
      </c>
      <c r="AJ52" t="s">
        <v>75</v>
      </c>
      <c r="AK52" t="s">
        <v>76</v>
      </c>
      <c r="AL52" t="s">
        <v>275</v>
      </c>
      <c r="AM52" t="s">
        <v>78</v>
      </c>
      <c r="AN52" t="b">
        <v>0</v>
      </c>
      <c r="AO52">
        <v>1008</v>
      </c>
      <c r="AP52" t="s">
        <v>65</v>
      </c>
      <c r="AQ52" t="b">
        <v>1</v>
      </c>
      <c r="AR52">
        <v>0</v>
      </c>
      <c r="AS52">
        <v>0</v>
      </c>
      <c r="AT52">
        <v>0</v>
      </c>
      <c r="AU52">
        <v>0</v>
      </c>
      <c r="AV52">
        <v>0</v>
      </c>
      <c r="AW52" t="b">
        <v>0</v>
      </c>
      <c r="AX52" t="b">
        <v>0</v>
      </c>
      <c r="AY52" t="s">
        <v>79</v>
      </c>
      <c r="AZ52" t="b">
        <v>0</v>
      </c>
      <c r="BA52" t="s">
        <v>276</v>
      </c>
      <c r="BB52" t="s">
        <v>277</v>
      </c>
      <c r="BC52" t="s">
        <v>278</v>
      </c>
      <c r="BD52" t="b">
        <v>0</v>
      </c>
      <c r="BE52">
        <v>4</v>
      </c>
      <c r="BF52" t="b">
        <v>0</v>
      </c>
    </row>
    <row r="53" spans="1:58" x14ac:dyDescent="0.25">
      <c r="A53">
        <v>3.2</v>
      </c>
      <c r="B53">
        <v>118481</v>
      </c>
      <c r="C53" t="s">
        <v>144</v>
      </c>
      <c r="D53" t="s">
        <v>145</v>
      </c>
      <c r="E53">
        <v>0.8208333333333333</v>
      </c>
      <c r="G53">
        <v>1</v>
      </c>
      <c r="H53">
        <v>2949</v>
      </c>
      <c r="K53" t="b">
        <v>0</v>
      </c>
      <c r="M53">
        <v>892542</v>
      </c>
      <c r="N53" t="s">
        <v>146</v>
      </c>
      <c r="O53">
        <v>1787911934859</v>
      </c>
      <c r="P53" t="s">
        <v>65</v>
      </c>
      <c r="S53" t="s">
        <v>147</v>
      </c>
      <c r="T53" t="s">
        <v>67</v>
      </c>
      <c r="U53" t="s">
        <v>119</v>
      </c>
      <c r="V53">
        <v>223346</v>
      </c>
      <c r="W53" t="b">
        <v>0</v>
      </c>
      <c r="X53">
        <v>0</v>
      </c>
      <c r="Y53" t="s">
        <v>148</v>
      </c>
      <c r="Z53" t="b">
        <v>1</v>
      </c>
      <c r="AA53" t="s">
        <v>149</v>
      </c>
      <c r="AB53">
        <v>280826008430</v>
      </c>
      <c r="AC53" t="s">
        <v>150</v>
      </c>
      <c r="AD53" t="s">
        <v>150</v>
      </c>
      <c r="AE53">
        <v>10</v>
      </c>
      <c r="AF53">
        <v>6</v>
      </c>
      <c r="AG53" t="s">
        <v>91</v>
      </c>
      <c r="AH53" t="s">
        <v>147</v>
      </c>
      <c r="AI53" t="s">
        <v>74</v>
      </c>
      <c r="AJ53" t="s">
        <v>75</v>
      </c>
      <c r="AK53" t="s">
        <v>76</v>
      </c>
      <c r="AL53" t="s">
        <v>151</v>
      </c>
      <c r="AM53" t="s">
        <v>78</v>
      </c>
      <c r="AN53" t="b">
        <v>0</v>
      </c>
      <c r="AO53">
        <v>1019</v>
      </c>
      <c r="AP53" t="s">
        <v>65</v>
      </c>
      <c r="AQ53" t="b">
        <v>1</v>
      </c>
      <c r="AR53">
        <v>0</v>
      </c>
      <c r="AS53">
        <v>0</v>
      </c>
      <c r="AT53">
        <v>0</v>
      </c>
      <c r="AU53">
        <v>0</v>
      </c>
      <c r="AV53">
        <v>0</v>
      </c>
      <c r="AW53" t="b">
        <v>0</v>
      </c>
      <c r="AX53" t="b">
        <v>0</v>
      </c>
      <c r="AY53" t="s">
        <v>79</v>
      </c>
      <c r="AZ53" t="b">
        <v>0</v>
      </c>
      <c r="BA53" t="s">
        <v>152</v>
      </c>
      <c r="BB53" t="s">
        <v>153</v>
      </c>
      <c r="BC53" t="s">
        <v>82</v>
      </c>
      <c r="BD53" t="b">
        <v>0</v>
      </c>
      <c r="BF53" t="b">
        <v>0</v>
      </c>
    </row>
    <row r="54" spans="1:58" x14ac:dyDescent="0.25">
      <c r="A54">
        <v>3.3</v>
      </c>
      <c r="B54">
        <v>44982</v>
      </c>
      <c r="C54" t="s">
        <v>279</v>
      </c>
      <c r="D54" t="s">
        <v>280</v>
      </c>
      <c r="E54">
        <v>0.87916666666666665</v>
      </c>
      <c r="G54">
        <v>1</v>
      </c>
      <c r="K54" t="b">
        <v>0</v>
      </c>
      <c r="M54">
        <v>100007</v>
      </c>
      <c r="N54" t="s">
        <v>281</v>
      </c>
      <c r="O54">
        <v>1787916961913</v>
      </c>
      <c r="P54" t="s">
        <v>65</v>
      </c>
      <c r="S54" t="s">
        <v>282</v>
      </c>
      <c r="T54" t="s">
        <v>67</v>
      </c>
      <c r="U54" t="s">
        <v>119</v>
      </c>
      <c r="V54">
        <v>2114</v>
      </c>
      <c r="W54" t="b">
        <v>0</v>
      </c>
      <c r="X54">
        <v>0</v>
      </c>
      <c r="Y54" t="s">
        <v>283</v>
      </c>
      <c r="Z54" t="b">
        <v>1</v>
      </c>
      <c r="AA54" t="s">
        <v>284</v>
      </c>
      <c r="AB54">
        <v>280826009678</v>
      </c>
      <c r="AC54" t="s">
        <v>285</v>
      </c>
      <c r="AD54" t="s">
        <v>285</v>
      </c>
      <c r="AE54">
        <v>11</v>
      </c>
      <c r="AF54">
        <v>7</v>
      </c>
      <c r="AG54" t="s">
        <v>91</v>
      </c>
      <c r="AH54" t="s">
        <v>282</v>
      </c>
      <c r="AI54" t="s">
        <v>74</v>
      </c>
      <c r="AJ54" t="s">
        <v>75</v>
      </c>
      <c r="AK54" t="s">
        <v>76</v>
      </c>
      <c r="AL54" t="s">
        <v>222</v>
      </c>
      <c r="AM54" t="s">
        <v>78</v>
      </c>
      <c r="AN54" t="b">
        <v>1</v>
      </c>
      <c r="AO54">
        <v>1019</v>
      </c>
      <c r="AP54" t="s">
        <v>65</v>
      </c>
      <c r="AQ54" t="b">
        <v>1</v>
      </c>
      <c r="AR54">
        <v>0</v>
      </c>
      <c r="AS54">
        <v>0</v>
      </c>
      <c r="AT54">
        <v>0</v>
      </c>
      <c r="AU54">
        <v>0</v>
      </c>
      <c r="AV54">
        <v>0</v>
      </c>
      <c r="AW54" t="b">
        <v>0</v>
      </c>
      <c r="AX54" t="b">
        <v>0</v>
      </c>
      <c r="AY54" t="s">
        <v>79</v>
      </c>
      <c r="AZ54" t="b">
        <v>0</v>
      </c>
      <c r="BA54" t="s">
        <v>286</v>
      </c>
      <c r="BB54" t="s">
        <v>287</v>
      </c>
      <c r="BC54" t="s">
        <v>82</v>
      </c>
      <c r="BD54" t="b">
        <v>0</v>
      </c>
      <c r="BE54">
        <v>5</v>
      </c>
      <c r="BF54" t="b">
        <v>0</v>
      </c>
    </row>
    <row r="55" spans="1:58" x14ac:dyDescent="0.25">
      <c r="A55">
        <v>3.9</v>
      </c>
      <c r="B55">
        <v>26716</v>
      </c>
      <c r="C55" t="s">
        <v>126</v>
      </c>
      <c r="D55" t="s">
        <v>127</v>
      </c>
      <c r="E55">
        <v>0.74861111111111112</v>
      </c>
      <c r="F55" t="s">
        <v>128</v>
      </c>
      <c r="G55">
        <v>1</v>
      </c>
      <c r="H55">
        <v>10201</v>
      </c>
      <c r="K55" t="b">
        <v>1</v>
      </c>
      <c r="L55" t="s">
        <v>129</v>
      </c>
      <c r="M55">
        <v>16987</v>
      </c>
      <c r="N55" t="s">
        <v>130</v>
      </c>
      <c r="O55">
        <v>1787819294543</v>
      </c>
      <c r="P55" t="s">
        <v>65</v>
      </c>
      <c r="S55" t="s">
        <v>131</v>
      </c>
      <c r="T55" t="s">
        <v>67</v>
      </c>
      <c r="U55" t="s">
        <v>87</v>
      </c>
      <c r="V55">
        <v>19288</v>
      </c>
      <c r="W55" t="b">
        <v>0</v>
      </c>
      <c r="X55">
        <v>0</v>
      </c>
      <c r="Y55" t="s">
        <v>132</v>
      </c>
      <c r="Z55" t="b">
        <v>0</v>
      </c>
      <c r="AA55" t="s">
        <v>133</v>
      </c>
      <c r="AB55">
        <v>270826917532</v>
      </c>
      <c r="AC55" t="s">
        <v>134</v>
      </c>
      <c r="AD55" t="s">
        <v>134</v>
      </c>
      <c r="AE55">
        <v>8</v>
      </c>
      <c r="AF55">
        <v>6</v>
      </c>
      <c r="AG55" t="s">
        <v>91</v>
      </c>
      <c r="AH55" t="s">
        <v>131</v>
      </c>
      <c r="AI55" t="s">
        <v>74</v>
      </c>
      <c r="AJ55" t="s">
        <v>75</v>
      </c>
      <c r="AK55" t="s">
        <v>76</v>
      </c>
      <c r="AL55" t="s">
        <v>135</v>
      </c>
      <c r="AM55" t="s">
        <v>78</v>
      </c>
      <c r="AN55" t="b">
        <v>0</v>
      </c>
      <c r="AO55">
        <v>1019</v>
      </c>
      <c r="AP55" t="s">
        <v>65</v>
      </c>
      <c r="AQ55" t="b">
        <v>1</v>
      </c>
      <c r="AR55">
        <v>0</v>
      </c>
      <c r="AS55">
        <v>0</v>
      </c>
      <c r="AT55">
        <v>0</v>
      </c>
      <c r="AU55">
        <v>0</v>
      </c>
      <c r="AV55">
        <v>0</v>
      </c>
      <c r="AW55" t="b">
        <v>0</v>
      </c>
      <c r="AX55" t="b">
        <v>0</v>
      </c>
      <c r="AY55" t="s">
        <v>79</v>
      </c>
      <c r="AZ55" t="b">
        <v>0</v>
      </c>
      <c r="BA55" t="s">
        <v>136</v>
      </c>
      <c r="BB55" t="s">
        <v>137</v>
      </c>
      <c r="BC55" t="s">
        <v>138</v>
      </c>
      <c r="BD55" t="b">
        <v>0</v>
      </c>
      <c r="BF55" t="b">
        <v>0</v>
      </c>
    </row>
    <row r="56" spans="1:58" x14ac:dyDescent="0.25">
      <c r="A56">
        <v>3.4</v>
      </c>
      <c r="B56">
        <v>47884</v>
      </c>
      <c r="C56" t="s">
        <v>83</v>
      </c>
      <c r="D56" t="s">
        <v>84</v>
      </c>
      <c r="E56">
        <v>0.62777777777777777</v>
      </c>
      <c r="G56">
        <v>1</v>
      </c>
      <c r="H56">
        <v>3730</v>
      </c>
      <c r="K56" t="b">
        <v>0</v>
      </c>
      <c r="M56">
        <v>2904476</v>
      </c>
      <c r="N56" t="s">
        <v>85</v>
      </c>
      <c r="O56">
        <v>1787808879920</v>
      </c>
      <c r="P56" t="s">
        <v>65</v>
      </c>
      <c r="S56" t="s">
        <v>86</v>
      </c>
      <c r="T56" t="s">
        <v>67</v>
      </c>
      <c r="U56" t="s">
        <v>87</v>
      </c>
      <c r="V56">
        <v>194354</v>
      </c>
      <c r="W56" t="b">
        <v>0</v>
      </c>
      <c r="X56">
        <v>0</v>
      </c>
      <c r="Y56" t="s">
        <v>88</v>
      </c>
      <c r="Z56" t="b">
        <v>1</v>
      </c>
      <c r="AA56" t="s">
        <v>89</v>
      </c>
      <c r="AB56">
        <v>270826010477</v>
      </c>
      <c r="AC56" t="s">
        <v>90</v>
      </c>
      <c r="AD56" t="s">
        <v>90</v>
      </c>
      <c r="AE56">
        <v>7</v>
      </c>
      <c r="AF56">
        <v>4</v>
      </c>
      <c r="AG56" t="s">
        <v>91</v>
      </c>
      <c r="AH56" t="s">
        <v>86</v>
      </c>
      <c r="AI56" t="s">
        <v>74</v>
      </c>
      <c r="AJ56" t="s">
        <v>75</v>
      </c>
      <c r="AK56" t="s">
        <v>76</v>
      </c>
      <c r="AL56" t="s">
        <v>92</v>
      </c>
      <c r="AM56" t="s">
        <v>78</v>
      </c>
      <c r="AN56" t="b">
        <v>1</v>
      </c>
      <c r="AO56">
        <v>1020</v>
      </c>
      <c r="AP56" t="s">
        <v>65</v>
      </c>
      <c r="AQ56" t="b">
        <v>1</v>
      </c>
      <c r="AR56">
        <v>0</v>
      </c>
      <c r="AS56">
        <v>0</v>
      </c>
      <c r="AT56">
        <v>0</v>
      </c>
      <c r="AU56">
        <v>0</v>
      </c>
      <c r="AV56">
        <v>0</v>
      </c>
      <c r="AW56" t="b">
        <v>0</v>
      </c>
      <c r="AX56" t="b">
        <v>0</v>
      </c>
      <c r="AY56" t="s">
        <v>79</v>
      </c>
      <c r="AZ56" t="b">
        <v>0</v>
      </c>
      <c r="BA56" t="s">
        <v>93</v>
      </c>
      <c r="BB56" t="s">
        <v>94</v>
      </c>
      <c r="BC56" t="s">
        <v>82</v>
      </c>
      <c r="BD56" t="b">
        <v>0</v>
      </c>
      <c r="BF56" t="b">
        <v>0</v>
      </c>
    </row>
    <row r="57" spans="1:58" x14ac:dyDescent="0.25">
      <c r="A57">
        <v>3.3</v>
      </c>
      <c r="B57">
        <v>13397</v>
      </c>
      <c r="C57" t="s">
        <v>95</v>
      </c>
      <c r="D57" t="s">
        <v>96</v>
      </c>
      <c r="E57">
        <v>0.69722222222222219</v>
      </c>
      <c r="G57">
        <v>1</v>
      </c>
      <c r="K57" t="b">
        <v>0</v>
      </c>
      <c r="M57">
        <v>676499</v>
      </c>
      <c r="N57" t="s">
        <v>97</v>
      </c>
      <c r="O57">
        <v>1787728452770</v>
      </c>
      <c r="P57" t="s">
        <v>65</v>
      </c>
      <c r="S57" t="s">
        <v>98</v>
      </c>
      <c r="T57" t="s">
        <v>67</v>
      </c>
      <c r="U57" t="s">
        <v>99</v>
      </c>
      <c r="V57">
        <v>9246</v>
      </c>
      <c r="W57" t="b">
        <v>0</v>
      </c>
      <c r="X57">
        <v>0</v>
      </c>
      <c r="Y57" t="s">
        <v>100</v>
      </c>
      <c r="Z57" t="b">
        <v>1</v>
      </c>
      <c r="AA57" t="s">
        <v>101</v>
      </c>
      <c r="AB57">
        <v>260826016031</v>
      </c>
      <c r="AC57" t="s">
        <v>102</v>
      </c>
      <c r="AD57" t="s">
        <v>102</v>
      </c>
      <c r="AE57">
        <v>8</v>
      </c>
      <c r="AF57">
        <v>4</v>
      </c>
      <c r="AG57" t="s">
        <v>91</v>
      </c>
      <c r="AH57" t="s">
        <v>98</v>
      </c>
      <c r="AI57" t="s">
        <v>74</v>
      </c>
      <c r="AJ57" t="s">
        <v>75</v>
      </c>
      <c r="AK57" t="s">
        <v>76</v>
      </c>
      <c r="AL57" t="s">
        <v>103</v>
      </c>
      <c r="AM57" t="s">
        <v>78</v>
      </c>
      <c r="AN57" t="b">
        <v>1</v>
      </c>
      <c r="AO57">
        <v>1019</v>
      </c>
      <c r="AP57" t="s">
        <v>65</v>
      </c>
      <c r="AQ57" t="b">
        <v>1</v>
      </c>
      <c r="AR57">
        <v>0</v>
      </c>
      <c r="AS57">
        <v>0</v>
      </c>
      <c r="AT57">
        <v>0</v>
      </c>
      <c r="AU57">
        <v>0</v>
      </c>
      <c r="AV57">
        <v>0</v>
      </c>
      <c r="AW57" t="b">
        <v>0</v>
      </c>
      <c r="AX57" t="b">
        <v>0</v>
      </c>
      <c r="AY57" t="s">
        <v>79</v>
      </c>
      <c r="AZ57" t="b">
        <v>0</v>
      </c>
      <c r="BA57" t="s">
        <v>104</v>
      </c>
      <c r="BB57" t="s">
        <v>105</v>
      </c>
      <c r="BC57" t="s">
        <v>82</v>
      </c>
      <c r="BD57" t="b">
        <v>0</v>
      </c>
      <c r="BE57">
        <v>4</v>
      </c>
      <c r="BF57" t="b">
        <v>0</v>
      </c>
    </row>
    <row r="58" spans="1:58" x14ac:dyDescent="0.25">
      <c r="A58">
        <v>3.7</v>
      </c>
      <c r="B58">
        <v>6800</v>
      </c>
      <c r="C58" t="s">
        <v>165</v>
      </c>
      <c r="D58" t="s">
        <v>166</v>
      </c>
      <c r="E58">
        <v>0.92569444444444449</v>
      </c>
      <c r="G58">
        <v>1</v>
      </c>
      <c r="H58">
        <v>2639</v>
      </c>
      <c r="K58" t="b">
        <v>0</v>
      </c>
      <c r="M58">
        <v>19934</v>
      </c>
      <c r="N58" t="s">
        <v>167</v>
      </c>
      <c r="O58">
        <v>1787316218988</v>
      </c>
      <c r="P58" t="s">
        <v>65</v>
      </c>
      <c r="S58" t="s">
        <v>168</v>
      </c>
      <c r="T58" t="s">
        <v>67</v>
      </c>
      <c r="U58" t="s">
        <v>169</v>
      </c>
      <c r="V58">
        <v>21746</v>
      </c>
      <c r="W58" t="b">
        <v>0</v>
      </c>
      <c r="X58">
        <v>0</v>
      </c>
      <c r="Y58" t="s">
        <v>170</v>
      </c>
      <c r="Z58" t="b">
        <v>1</v>
      </c>
      <c r="AA58" t="s">
        <v>171</v>
      </c>
      <c r="AB58">
        <v>210826932923</v>
      </c>
      <c r="AC58" t="s">
        <v>172</v>
      </c>
      <c r="AD58" t="s">
        <v>172</v>
      </c>
      <c r="AE58">
        <v>13</v>
      </c>
      <c r="AF58">
        <v>8</v>
      </c>
      <c r="AG58" t="s">
        <v>91</v>
      </c>
      <c r="AH58" t="s">
        <v>168</v>
      </c>
      <c r="AI58" t="s">
        <v>74</v>
      </c>
      <c r="AJ58" t="s">
        <v>75</v>
      </c>
      <c r="AK58" t="s">
        <v>76</v>
      </c>
      <c r="AL58" t="s">
        <v>135</v>
      </c>
      <c r="AM58" t="s">
        <v>78</v>
      </c>
      <c r="AN58" t="b">
        <v>0</v>
      </c>
      <c r="AO58">
        <v>1028</v>
      </c>
      <c r="AP58" t="s">
        <v>65</v>
      </c>
      <c r="AQ58" t="b">
        <v>1</v>
      </c>
      <c r="AR58">
        <v>0</v>
      </c>
      <c r="AS58">
        <v>0</v>
      </c>
      <c r="AT58">
        <v>0</v>
      </c>
      <c r="AU58">
        <v>0</v>
      </c>
      <c r="AV58">
        <v>0</v>
      </c>
      <c r="AW58" t="b">
        <v>0</v>
      </c>
      <c r="AX58" t="b">
        <v>0</v>
      </c>
      <c r="AY58" t="s">
        <v>79</v>
      </c>
      <c r="AZ58" t="b">
        <v>0</v>
      </c>
      <c r="BA58" t="s">
        <v>173</v>
      </c>
      <c r="BB58" t="s">
        <v>174</v>
      </c>
      <c r="BC58" t="s">
        <v>175</v>
      </c>
      <c r="BD58" t="b">
        <v>0</v>
      </c>
      <c r="BF58" t="b">
        <v>0</v>
      </c>
    </row>
    <row r="59" spans="1:58" x14ac:dyDescent="0.25">
      <c r="A59">
        <v>3.5</v>
      </c>
      <c r="B59">
        <v>50684</v>
      </c>
      <c r="C59" t="s">
        <v>205</v>
      </c>
      <c r="D59" t="s">
        <v>206</v>
      </c>
      <c r="E59">
        <v>0.90694444444444444</v>
      </c>
      <c r="G59">
        <v>1</v>
      </c>
      <c r="K59" t="b">
        <v>0</v>
      </c>
      <c r="M59">
        <v>124269780</v>
      </c>
      <c r="N59" t="s">
        <v>208</v>
      </c>
      <c r="O59">
        <v>1787573809755</v>
      </c>
      <c r="P59" t="s">
        <v>65</v>
      </c>
      <c r="S59" t="s">
        <v>254</v>
      </c>
      <c r="T59" t="s">
        <v>67</v>
      </c>
      <c r="U59" t="s">
        <v>211</v>
      </c>
      <c r="V59">
        <v>13832</v>
      </c>
      <c r="W59" t="b">
        <v>0</v>
      </c>
      <c r="X59">
        <v>0</v>
      </c>
      <c r="Y59" t="s">
        <v>255</v>
      </c>
      <c r="Z59" t="b">
        <v>1</v>
      </c>
      <c r="AA59" t="s">
        <v>213</v>
      </c>
      <c r="AB59">
        <v>170826030661</v>
      </c>
      <c r="AC59" t="s">
        <v>214</v>
      </c>
      <c r="AD59" t="s">
        <v>214</v>
      </c>
      <c r="AE59">
        <v>11</v>
      </c>
      <c r="AF59">
        <v>9</v>
      </c>
      <c r="AG59" t="s">
        <v>91</v>
      </c>
      <c r="AH59" t="s">
        <v>254</v>
      </c>
      <c r="AI59" t="s">
        <v>74</v>
      </c>
      <c r="AJ59" t="s">
        <v>75</v>
      </c>
      <c r="AK59" t="s">
        <v>76</v>
      </c>
      <c r="AL59" t="s">
        <v>215</v>
      </c>
      <c r="AM59" t="s">
        <v>78</v>
      </c>
      <c r="AN59" t="b">
        <v>1</v>
      </c>
      <c r="AO59">
        <v>1028</v>
      </c>
      <c r="AP59" t="s">
        <v>65</v>
      </c>
      <c r="AQ59" t="b">
        <v>1</v>
      </c>
      <c r="AR59">
        <v>0</v>
      </c>
      <c r="AS59">
        <v>0</v>
      </c>
      <c r="AT59">
        <v>0</v>
      </c>
      <c r="AU59">
        <v>0</v>
      </c>
      <c r="AV59">
        <v>0</v>
      </c>
      <c r="AW59" t="b">
        <v>0</v>
      </c>
      <c r="AX59" t="b">
        <v>0</v>
      </c>
      <c r="AY59" t="s">
        <v>79</v>
      </c>
      <c r="AZ59" t="b">
        <v>0</v>
      </c>
      <c r="BA59" t="s">
        <v>216</v>
      </c>
      <c r="BB59" t="s">
        <v>217</v>
      </c>
      <c r="BC59" t="s">
        <v>218</v>
      </c>
      <c r="BD59" t="b">
        <v>0</v>
      </c>
      <c r="BE59">
        <v>1000</v>
      </c>
      <c r="BF59" t="b">
        <v>0</v>
      </c>
    </row>
    <row r="60" spans="1:58" x14ac:dyDescent="0.25">
      <c r="A60">
        <v>4.2</v>
      </c>
      <c r="B60">
        <v>13</v>
      </c>
      <c r="C60" t="s">
        <v>288</v>
      </c>
      <c r="D60" t="s">
        <v>289</v>
      </c>
      <c r="E60">
        <v>0.78402777777777777</v>
      </c>
      <c r="F60" t="s">
        <v>290</v>
      </c>
      <c r="G60">
        <v>1</v>
      </c>
      <c r="K60" t="b">
        <v>1</v>
      </c>
      <c r="L60" t="s">
        <v>291</v>
      </c>
      <c r="M60">
        <v>3647062</v>
      </c>
      <c r="N60" t="s">
        <v>292</v>
      </c>
      <c r="O60">
        <v>1787735953000</v>
      </c>
      <c r="P60" t="s">
        <v>65</v>
      </c>
      <c r="S60" t="s">
        <v>191</v>
      </c>
      <c r="T60" t="s">
        <v>67</v>
      </c>
      <c r="U60" t="s">
        <v>99</v>
      </c>
      <c r="V60">
        <v>2884636</v>
      </c>
      <c r="W60" t="b">
        <v>0</v>
      </c>
      <c r="X60">
        <v>0</v>
      </c>
      <c r="Y60" t="s">
        <v>293</v>
      </c>
      <c r="Z60" t="b">
        <v>0</v>
      </c>
      <c r="AA60" t="s">
        <v>294</v>
      </c>
      <c r="AB60">
        <v>260826501368</v>
      </c>
      <c r="AC60" t="s">
        <v>295</v>
      </c>
      <c r="AD60" t="s">
        <v>295</v>
      </c>
      <c r="AE60">
        <v>10</v>
      </c>
      <c r="AF60">
        <v>5</v>
      </c>
      <c r="AG60" t="s">
        <v>73</v>
      </c>
      <c r="AH60" t="s">
        <v>191</v>
      </c>
      <c r="AI60" t="s">
        <v>74</v>
      </c>
      <c r="AJ60" t="s">
        <v>75</v>
      </c>
      <c r="AK60" t="s">
        <v>76</v>
      </c>
      <c r="AL60" t="s">
        <v>135</v>
      </c>
      <c r="AM60" t="s">
        <v>78</v>
      </c>
      <c r="AN60" t="b">
        <v>0</v>
      </c>
      <c r="AO60">
        <v>1028</v>
      </c>
      <c r="AP60" t="s">
        <v>65</v>
      </c>
      <c r="AQ60" t="b">
        <v>1</v>
      </c>
      <c r="AR60">
        <v>0</v>
      </c>
      <c r="AS60">
        <v>0</v>
      </c>
      <c r="AT60">
        <v>0</v>
      </c>
      <c r="AU60">
        <v>0</v>
      </c>
      <c r="AV60">
        <v>0</v>
      </c>
      <c r="AW60" t="b">
        <v>0</v>
      </c>
      <c r="AX60" t="b">
        <v>0</v>
      </c>
      <c r="AY60" t="s">
        <v>79</v>
      </c>
      <c r="AZ60" t="b">
        <v>0</v>
      </c>
      <c r="BA60" t="s">
        <v>296</v>
      </c>
      <c r="BB60" t="s">
        <v>297</v>
      </c>
      <c r="BC60" t="s">
        <v>298</v>
      </c>
      <c r="BD60" t="b">
        <v>0</v>
      </c>
      <c r="BF60" t="b">
        <v>0</v>
      </c>
    </row>
    <row r="61" spans="1:58" x14ac:dyDescent="0.25">
      <c r="A61">
        <v>3.7</v>
      </c>
      <c r="B61">
        <v>63625</v>
      </c>
      <c r="C61" t="s">
        <v>299</v>
      </c>
      <c r="D61" t="s">
        <v>300</v>
      </c>
      <c r="E61">
        <v>0.96805555555555556</v>
      </c>
      <c r="G61">
        <v>1</v>
      </c>
      <c r="H61">
        <v>8927</v>
      </c>
      <c r="K61" t="b">
        <v>0</v>
      </c>
      <c r="M61">
        <v>2114</v>
      </c>
      <c r="N61" t="s">
        <v>301</v>
      </c>
      <c r="O61">
        <v>1787751894286</v>
      </c>
      <c r="P61" t="s">
        <v>65</v>
      </c>
      <c r="S61" t="s">
        <v>147</v>
      </c>
      <c r="T61" t="s">
        <v>67</v>
      </c>
      <c r="U61" t="s">
        <v>87</v>
      </c>
      <c r="V61">
        <v>4156</v>
      </c>
      <c r="W61" t="b">
        <v>0</v>
      </c>
      <c r="X61">
        <v>0</v>
      </c>
      <c r="Y61" t="s">
        <v>302</v>
      </c>
      <c r="Z61" t="b">
        <v>1</v>
      </c>
      <c r="AA61" t="s">
        <v>303</v>
      </c>
      <c r="AB61">
        <v>260826030665</v>
      </c>
      <c r="AC61" t="s">
        <v>304</v>
      </c>
      <c r="AD61" t="s">
        <v>304</v>
      </c>
      <c r="AE61">
        <v>10</v>
      </c>
      <c r="AF61">
        <v>6</v>
      </c>
      <c r="AG61" t="s">
        <v>91</v>
      </c>
      <c r="AH61" t="s">
        <v>147</v>
      </c>
      <c r="AI61" t="s">
        <v>74</v>
      </c>
      <c r="AJ61" t="s">
        <v>75</v>
      </c>
      <c r="AK61" t="s">
        <v>76</v>
      </c>
      <c r="AL61" t="s">
        <v>305</v>
      </c>
      <c r="AM61" t="s">
        <v>78</v>
      </c>
      <c r="AN61" t="b">
        <v>0</v>
      </c>
      <c r="AO61">
        <v>1028</v>
      </c>
      <c r="AP61" t="s">
        <v>65</v>
      </c>
      <c r="AQ61" t="b">
        <v>1</v>
      </c>
      <c r="AR61">
        <v>0</v>
      </c>
      <c r="AS61">
        <v>0</v>
      </c>
      <c r="AT61">
        <v>0</v>
      </c>
      <c r="AU61">
        <v>0</v>
      </c>
      <c r="AV61">
        <v>0</v>
      </c>
      <c r="AW61" t="b">
        <v>0</v>
      </c>
      <c r="AX61" t="b">
        <v>0</v>
      </c>
      <c r="AY61" t="s">
        <v>79</v>
      </c>
      <c r="AZ61" t="b">
        <v>0</v>
      </c>
      <c r="BA61" t="s">
        <v>306</v>
      </c>
      <c r="BB61" t="s">
        <v>307</v>
      </c>
      <c r="BC61" t="s">
        <v>224</v>
      </c>
      <c r="BD61" t="b">
        <v>0</v>
      </c>
      <c r="BF61" t="b">
        <v>0</v>
      </c>
    </row>
    <row r="62" spans="1:58" x14ac:dyDescent="0.25">
      <c r="A62">
        <v>3.8</v>
      </c>
      <c r="B62">
        <v>6281</v>
      </c>
      <c r="C62" t="s">
        <v>176</v>
      </c>
      <c r="D62" t="s">
        <v>177</v>
      </c>
      <c r="E62">
        <v>0.90138888888888891</v>
      </c>
      <c r="F62" t="s">
        <v>178</v>
      </c>
      <c r="G62">
        <v>1</v>
      </c>
      <c r="H62">
        <v>15127</v>
      </c>
      <c r="K62" t="b">
        <v>1</v>
      </c>
      <c r="L62" t="s">
        <v>179</v>
      </c>
      <c r="M62">
        <v>1369478</v>
      </c>
      <c r="N62" t="s">
        <v>180</v>
      </c>
      <c r="O62">
        <v>1766146126000</v>
      </c>
      <c r="P62" t="s">
        <v>65</v>
      </c>
      <c r="S62" t="s">
        <v>181</v>
      </c>
      <c r="T62" t="s">
        <v>67</v>
      </c>
      <c r="U62" t="s">
        <v>68</v>
      </c>
      <c r="V62">
        <v>164080</v>
      </c>
      <c r="W62" t="b">
        <v>0</v>
      </c>
      <c r="X62">
        <v>0</v>
      </c>
      <c r="Y62" t="s">
        <v>182</v>
      </c>
      <c r="Z62" t="b">
        <v>0</v>
      </c>
      <c r="AA62" t="s">
        <v>183</v>
      </c>
      <c r="AB62">
        <v>191225503735</v>
      </c>
      <c r="AC62" t="s">
        <v>184</v>
      </c>
      <c r="AD62" t="s">
        <v>184</v>
      </c>
      <c r="AE62">
        <v>7</v>
      </c>
      <c r="AF62">
        <v>3</v>
      </c>
      <c r="AG62" t="s">
        <v>73</v>
      </c>
      <c r="AH62" t="s">
        <v>181</v>
      </c>
      <c r="AI62" t="s">
        <v>74</v>
      </c>
      <c r="AJ62" t="s">
        <v>75</v>
      </c>
      <c r="AK62" t="s">
        <v>76</v>
      </c>
      <c r="AL62" t="s">
        <v>135</v>
      </c>
      <c r="AM62" t="s">
        <v>78</v>
      </c>
      <c r="AN62" t="b">
        <v>0</v>
      </c>
      <c r="AO62">
        <v>1019</v>
      </c>
      <c r="AP62" t="s">
        <v>65</v>
      </c>
      <c r="AQ62" t="b">
        <v>1</v>
      </c>
      <c r="AR62">
        <v>0</v>
      </c>
      <c r="AS62">
        <v>0</v>
      </c>
      <c r="AT62">
        <v>0</v>
      </c>
      <c r="AU62">
        <v>0</v>
      </c>
      <c r="AV62">
        <v>0</v>
      </c>
      <c r="AW62" t="b">
        <v>0</v>
      </c>
      <c r="AX62" t="b">
        <v>0</v>
      </c>
      <c r="AY62" t="s">
        <v>79</v>
      </c>
      <c r="AZ62" t="b">
        <v>0</v>
      </c>
      <c r="BA62" t="s">
        <v>185</v>
      </c>
      <c r="BB62" t="s">
        <v>186</v>
      </c>
      <c r="BC62" t="s">
        <v>187</v>
      </c>
      <c r="BD62" t="b">
        <v>0</v>
      </c>
      <c r="BF62" t="b">
        <v>0</v>
      </c>
    </row>
    <row r="63" spans="1:58" x14ac:dyDescent="0.25">
      <c r="A63">
        <v>3.4</v>
      </c>
      <c r="B63">
        <v>47884</v>
      </c>
      <c r="C63" t="s">
        <v>83</v>
      </c>
      <c r="D63" t="s">
        <v>84</v>
      </c>
      <c r="E63">
        <v>0.62777777777777777</v>
      </c>
      <c r="G63">
        <v>1</v>
      </c>
      <c r="H63">
        <v>3730</v>
      </c>
      <c r="K63" t="b">
        <v>0</v>
      </c>
      <c r="M63">
        <v>2904476</v>
      </c>
      <c r="N63" t="s">
        <v>85</v>
      </c>
      <c r="O63">
        <v>1787808879920</v>
      </c>
      <c r="P63" t="s">
        <v>65</v>
      </c>
      <c r="S63" t="s">
        <v>86</v>
      </c>
      <c r="T63" t="s">
        <v>67</v>
      </c>
      <c r="U63" t="s">
        <v>87</v>
      </c>
      <c r="V63">
        <v>194354</v>
      </c>
      <c r="W63" t="b">
        <v>0</v>
      </c>
      <c r="X63">
        <v>0</v>
      </c>
      <c r="Y63" t="s">
        <v>88</v>
      </c>
      <c r="Z63" t="b">
        <v>1</v>
      </c>
      <c r="AA63" t="s">
        <v>89</v>
      </c>
      <c r="AB63">
        <v>270826010477</v>
      </c>
      <c r="AC63" t="s">
        <v>90</v>
      </c>
      <c r="AD63" t="s">
        <v>90</v>
      </c>
      <c r="AE63">
        <v>7</v>
      </c>
      <c r="AF63">
        <v>4</v>
      </c>
      <c r="AG63" t="s">
        <v>91</v>
      </c>
      <c r="AH63" t="s">
        <v>86</v>
      </c>
      <c r="AI63" t="s">
        <v>74</v>
      </c>
      <c r="AJ63" t="s">
        <v>75</v>
      </c>
      <c r="AK63" t="s">
        <v>76</v>
      </c>
      <c r="AL63" t="s">
        <v>92</v>
      </c>
      <c r="AM63" t="s">
        <v>78</v>
      </c>
      <c r="AN63" t="b">
        <v>1</v>
      </c>
      <c r="AO63">
        <v>1020</v>
      </c>
      <c r="AP63" t="s">
        <v>65</v>
      </c>
      <c r="AQ63" t="b">
        <v>1</v>
      </c>
      <c r="AR63">
        <v>0</v>
      </c>
      <c r="AS63">
        <v>0</v>
      </c>
      <c r="AT63">
        <v>0</v>
      </c>
      <c r="AU63">
        <v>0</v>
      </c>
      <c r="AV63">
        <v>0</v>
      </c>
      <c r="AW63" t="b">
        <v>0</v>
      </c>
      <c r="AX63" t="b">
        <v>0</v>
      </c>
      <c r="AY63" t="s">
        <v>79</v>
      </c>
      <c r="AZ63" t="b">
        <v>0</v>
      </c>
      <c r="BA63" t="s">
        <v>93</v>
      </c>
      <c r="BB63" t="s">
        <v>94</v>
      </c>
      <c r="BC63" t="s">
        <v>82</v>
      </c>
      <c r="BD63" t="b">
        <v>0</v>
      </c>
      <c r="BF63" t="b">
        <v>0</v>
      </c>
    </row>
    <row r="64" spans="1:58" x14ac:dyDescent="0.25">
      <c r="A64">
        <v>3.3</v>
      </c>
      <c r="B64">
        <v>13397</v>
      </c>
      <c r="C64" t="s">
        <v>95</v>
      </c>
      <c r="D64" t="s">
        <v>96</v>
      </c>
      <c r="E64">
        <v>0.69722222222222219</v>
      </c>
      <c r="G64">
        <v>1</v>
      </c>
      <c r="K64" t="b">
        <v>0</v>
      </c>
      <c r="M64">
        <v>676499</v>
      </c>
      <c r="N64" t="s">
        <v>97</v>
      </c>
      <c r="O64">
        <v>1787728452770</v>
      </c>
      <c r="P64" t="s">
        <v>65</v>
      </c>
      <c r="S64" t="s">
        <v>98</v>
      </c>
      <c r="T64" t="s">
        <v>67</v>
      </c>
      <c r="U64" t="s">
        <v>99</v>
      </c>
      <c r="V64">
        <v>9246</v>
      </c>
      <c r="W64" t="b">
        <v>0</v>
      </c>
      <c r="X64">
        <v>0</v>
      </c>
      <c r="Y64" t="s">
        <v>100</v>
      </c>
      <c r="Z64" t="b">
        <v>1</v>
      </c>
      <c r="AA64" t="s">
        <v>101</v>
      </c>
      <c r="AB64">
        <v>260826016031</v>
      </c>
      <c r="AC64" t="s">
        <v>102</v>
      </c>
      <c r="AD64" t="s">
        <v>102</v>
      </c>
      <c r="AE64">
        <v>8</v>
      </c>
      <c r="AF64">
        <v>4</v>
      </c>
      <c r="AG64" t="s">
        <v>91</v>
      </c>
      <c r="AH64" t="s">
        <v>98</v>
      </c>
      <c r="AI64" t="s">
        <v>74</v>
      </c>
      <c r="AJ64" t="s">
        <v>75</v>
      </c>
      <c r="AK64" t="s">
        <v>76</v>
      </c>
      <c r="AL64" t="s">
        <v>103</v>
      </c>
      <c r="AM64" t="s">
        <v>78</v>
      </c>
      <c r="AN64" t="b">
        <v>1</v>
      </c>
      <c r="AO64">
        <v>1019</v>
      </c>
      <c r="AP64" t="s">
        <v>65</v>
      </c>
      <c r="AQ64" t="b">
        <v>1</v>
      </c>
      <c r="AR64">
        <v>0</v>
      </c>
      <c r="AS64">
        <v>0</v>
      </c>
      <c r="AT64">
        <v>0</v>
      </c>
      <c r="AU64">
        <v>0</v>
      </c>
      <c r="AV64">
        <v>0</v>
      </c>
      <c r="AW64" t="b">
        <v>0</v>
      </c>
      <c r="AX64" t="b">
        <v>0</v>
      </c>
      <c r="AY64" t="s">
        <v>79</v>
      </c>
      <c r="AZ64" t="b">
        <v>0</v>
      </c>
      <c r="BA64" t="s">
        <v>104</v>
      </c>
      <c r="BB64" t="s">
        <v>105</v>
      </c>
      <c r="BC64" t="s">
        <v>82</v>
      </c>
      <c r="BD64" t="b">
        <v>0</v>
      </c>
      <c r="BE64">
        <v>4</v>
      </c>
      <c r="BF64" t="b">
        <v>0</v>
      </c>
    </row>
    <row r="65" spans="1:58" x14ac:dyDescent="0.25">
      <c r="E65">
        <v>0.91874999999999996</v>
      </c>
      <c r="F65" t="s">
        <v>188</v>
      </c>
      <c r="G65">
        <v>1</v>
      </c>
      <c r="K65" t="b">
        <v>1</v>
      </c>
      <c r="L65" t="s">
        <v>189</v>
      </c>
      <c r="M65">
        <v>125076821</v>
      </c>
      <c r="N65" t="s">
        <v>190</v>
      </c>
      <c r="O65">
        <v>1783341207000</v>
      </c>
      <c r="P65" t="s">
        <v>65</v>
      </c>
      <c r="S65" t="s">
        <v>191</v>
      </c>
      <c r="T65" t="s">
        <v>67</v>
      </c>
      <c r="U65" t="s">
        <v>68</v>
      </c>
      <c r="V65">
        <v>7029887</v>
      </c>
      <c r="W65" t="b">
        <v>0</v>
      </c>
      <c r="X65">
        <v>0</v>
      </c>
      <c r="Y65" t="s">
        <v>192</v>
      </c>
      <c r="Z65" t="b">
        <v>0</v>
      </c>
      <c r="AA65" t="s">
        <v>193</v>
      </c>
      <c r="AB65" t="s">
        <v>194</v>
      </c>
      <c r="AC65" t="s">
        <v>195</v>
      </c>
      <c r="AD65" t="s">
        <v>195</v>
      </c>
      <c r="AE65">
        <v>10</v>
      </c>
      <c r="AF65">
        <v>5</v>
      </c>
      <c r="AG65" t="s">
        <v>73</v>
      </c>
      <c r="AH65" t="s">
        <v>191</v>
      </c>
      <c r="AI65" t="s">
        <v>74</v>
      </c>
      <c r="AJ65" t="s">
        <v>75</v>
      </c>
      <c r="AK65" t="s">
        <v>76</v>
      </c>
      <c r="AL65" t="s">
        <v>135</v>
      </c>
      <c r="AM65" t="s">
        <v>78</v>
      </c>
      <c r="AN65" t="b">
        <v>0</v>
      </c>
      <c r="AO65">
        <v>1019</v>
      </c>
      <c r="AP65" t="s">
        <v>65</v>
      </c>
      <c r="AQ65" t="b">
        <v>1</v>
      </c>
      <c r="AR65">
        <v>0</v>
      </c>
      <c r="AS65">
        <v>0</v>
      </c>
      <c r="AT65">
        <v>0</v>
      </c>
      <c r="AU65">
        <v>0</v>
      </c>
      <c r="AV65">
        <v>0</v>
      </c>
      <c r="AW65" t="b">
        <v>0</v>
      </c>
      <c r="AX65" t="b">
        <v>0</v>
      </c>
      <c r="AY65" t="s">
        <v>79</v>
      </c>
      <c r="AZ65" t="b">
        <v>0</v>
      </c>
      <c r="BA65" t="s">
        <v>196</v>
      </c>
      <c r="BB65" t="s">
        <v>197</v>
      </c>
      <c r="BC65" t="s">
        <v>198</v>
      </c>
      <c r="BD65" t="b">
        <v>0</v>
      </c>
      <c r="BF65" t="b">
        <v>0</v>
      </c>
    </row>
    <row r="66" spans="1:58" x14ac:dyDescent="0.25">
      <c r="A66">
        <v>3.9</v>
      </c>
      <c r="B66">
        <v>26716</v>
      </c>
      <c r="C66" t="s">
        <v>126</v>
      </c>
      <c r="D66" t="s">
        <v>127</v>
      </c>
      <c r="E66">
        <v>0.74861111111111112</v>
      </c>
      <c r="F66" t="s">
        <v>128</v>
      </c>
      <c r="G66">
        <v>1</v>
      </c>
      <c r="H66">
        <v>10201</v>
      </c>
      <c r="K66" t="b">
        <v>1</v>
      </c>
      <c r="L66" t="s">
        <v>129</v>
      </c>
      <c r="M66">
        <v>16987</v>
      </c>
      <c r="N66" t="s">
        <v>130</v>
      </c>
      <c r="O66">
        <v>1787819294543</v>
      </c>
      <c r="P66" t="s">
        <v>65</v>
      </c>
      <c r="S66" t="s">
        <v>131</v>
      </c>
      <c r="T66" t="s">
        <v>67</v>
      </c>
      <c r="U66" t="s">
        <v>87</v>
      </c>
      <c r="V66">
        <v>19288</v>
      </c>
      <c r="W66" t="b">
        <v>0</v>
      </c>
      <c r="X66">
        <v>0</v>
      </c>
      <c r="Y66" t="s">
        <v>132</v>
      </c>
      <c r="Z66" t="b">
        <v>0</v>
      </c>
      <c r="AA66" t="s">
        <v>133</v>
      </c>
      <c r="AB66">
        <v>270826917532</v>
      </c>
      <c r="AC66" t="s">
        <v>134</v>
      </c>
      <c r="AD66" t="s">
        <v>134</v>
      </c>
      <c r="AE66">
        <v>8</v>
      </c>
      <c r="AF66">
        <v>6</v>
      </c>
      <c r="AG66" t="s">
        <v>91</v>
      </c>
      <c r="AH66" t="s">
        <v>131</v>
      </c>
      <c r="AI66" t="s">
        <v>74</v>
      </c>
      <c r="AJ66" t="s">
        <v>75</v>
      </c>
      <c r="AK66" t="s">
        <v>76</v>
      </c>
      <c r="AL66" t="s">
        <v>135</v>
      </c>
      <c r="AM66" t="s">
        <v>78</v>
      </c>
      <c r="AN66" t="b">
        <v>0</v>
      </c>
      <c r="AO66">
        <v>1019</v>
      </c>
      <c r="AP66" t="s">
        <v>65</v>
      </c>
      <c r="AQ66" t="b">
        <v>1</v>
      </c>
      <c r="AR66">
        <v>0</v>
      </c>
      <c r="AS66">
        <v>0</v>
      </c>
      <c r="AT66">
        <v>0</v>
      </c>
      <c r="AU66">
        <v>0</v>
      </c>
      <c r="AV66">
        <v>0</v>
      </c>
      <c r="AW66" t="b">
        <v>0</v>
      </c>
      <c r="AX66" t="b">
        <v>0</v>
      </c>
      <c r="AY66" t="s">
        <v>79</v>
      </c>
      <c r="AZ66" t="b">
        <v>0</v>
      </c>
      <c r="BA66" t="s">
        <v>136</v>
      </c>
      <c r="BB66" t="s">
        <v>137</v>
      </c>
      <c r="BC66" t="s">
        <v>138</v>
      </c>
      <c r="BD66" t="b">
        <v>0</v>
      </c>
      <c r="BF66" t="b">
        <v>0</v>
      </c>
    </row>
    <row r="67" spans="1:58" x14ac:dyDescent="0.25">
      <c r="A67">
        <v>3.9</v>
      </c>
      <c r="B67">
        <v>26716</v>
      </c>
      <c r="C67" t="s">
        <v>126</v>
      </c>
      <c r="D67" t="s">
        <v>127</v>
      </c>
      <c r="E67">
        <v>0.5805555555555556</v>
      </c>
      <c r="F67" t="s">
        <v>139</v>
      </c>
      <c r="G67">
        <v>1</v>
      </c>
      <c r="H67">
        <v>10201</v>
      </c>
      <c r="K67" t="b">
        <v>1</v>
      </c>
      <c r="L67" t="s">
        <v>140</v>
      </c>
      <c r="M67">
        <v>16987</v>
      </c>
      <c r="N67" t="s">
        <v>130</v>
      </c>
      <c r="O67">
        <v>1787718372586</v>
      </c>
      <c r="P67" t="s">
        <v>65</v>
      </c>
      <c r="S67" t="s">
        <v>118</v>
      </c>
      <c r="T67" t="s">
        <v>67</v>
      </c>
      <c r="U67" t="s">
        <v>99</v>
      </c>
      <c r="V67">
        <v>19288</v>
      </c>
      <c r="W67" t="b">
        <v>0</v>
      </c>
      <c r="X67">
        <v>0</v>
      </c>
      <c r="Y67" t="s">
        <v>141</v>
      </c>
      <c r="Z67" t="b">
        <v>0</v>
      </c>
      <c r="AA67" t="s">
        <v>142</v>
      </c>
      <c r="AB67">
        <v>260826909019</v>
      </c>
      <c r="AC67" t="s">
        <v>134</v>
      </c>
      <c r="AD67" t="s">
        <v>134</v>
      </c>
      <c r="AE67">
        <v>10</v>
      </c>
      <c r="AF67">
        <v>8</v>
      </c>
      <c r="AG67" t="s">
        <v>91</v>
      </c>
      <c r="AH67" t="s">
        <v>118</v>
      </c>
      <c r="AI67" t="s">
        <v>74</v>
      </c>
      <c r="AJ67" t="s">
        <v>75</v>
      </c>
      <c r="AK67" t="s">
        <v>76</v>
      </c>
      <c r="AL67" t="s">
        <v>135</v>
      </c>
      <c r="AM67" t="s">
        <v>78</v>
      </c>
      <c r="AN67" t="b">
        <v>0</v>
      </c>
      <c r="AO67">
        <v>1019</v>
      </c>
      <c r="AP67" t="s">
        <v>65</v>
      </c>
      <c r="AQ67" t="b">
        <v>1</v>
      </c>
      <c r="AR67">
        <v>0</v>
      </c>
      <c r="AS67">
        <v>0</v>
      </c>
      <c r="AT67">
        <v>0</v>
      </c>
      <c r="AU67">
        <v>0</v>
      </c>
      <c r="AV67">
        <v>0</v>
      </c>
      <c r="AW67" t="b">
        <v>0</v>
      </c>
      <c r="AX67" t="b">
        <v>0</v>
      </c>
      <c r="AY67" t="s">
        <v>79</v>
      </c>
      <c r="AZ67" t="b">
        <v>0</v>
      </c>
      <c r="BA67" t="s">
        <v>136</v>
      </c>
      <c r="BB67" t="s">
        <v>143</v>
      </c>
      <c r="BC67" t="s">
        <v>138</v>
      </c>
      <c r="BD67" t="b">
        <v>0</v>
      </c>
      <c r="BF67" t="b">
        <v>0</v>
      </c>
    </row>
    <row r="68" spans="1:58" x14ac:dyDescent="0.25">
      <c r="A68">
        <v>3.9</v>
      </c>
      <c r="B68">
        <v>26716</v>
      </c>
      <c r="C68" t="s">
        <v>126</v>
      </c>
      <c r="D68" t="s">
        <v>127</v>
      </c>
      <c r="E68">
        <v>0.79583333333333328</v>
      </c>
      <c r="F68" t="s">
        <v>199</v>
      </c>
      <c r="G68">
        <v>1</v>
      </c>
      <c r="H68">
        <v>10201</v>
      </c>
      <c r="K68" t="b">
        <v>1</v>
      </c>
      <c r="L68" t="s">
        <v>200</v>
      </c>
      <c r="M68">
        <v>16987</v>
      </c>
      <c r="N68" t="s">
        <v>130</v>
      </c>
      <c r="O68">
        <v>1787218594529</v>
      </c>
      <c r="P68" t="s">
        <v>65</v>
      </c>
      <c r="S68" t="s">
        <v>191</v>
      </c>
      <c r="T68" t="s">
        <v>67</v>
      </c>
      <c r="U68" t="s">
        <v>201</v>
      </c>
      <c r="V68">
        <v>19288</v>
      </c>
      <c r="W68" t="b">
        <v>0</v>
      </c>
      <c r="X68">
        <v>0</v>
      </c>
      <c r="Y68" t="s">
        <v>202</v>
      </c>
      <c r="Z68" t="b">
        <v>0</v>
      </c>
      <c r="AA68" t="s">
        <v>203</v>
      </c>
      <c r="AB68">
        <v>200826923685</v>
      </c>
      <c r="AC68" t="s">
        <v>134</v>
      </c>
      <c r="AD68" t="s">
        <v>134</v>
      </c>
      <c r="AE68">
        <v>10</v>
      </c>
      <c r="AF68">
        <v>5</v>
      </c>
      <c r="AG68" t="s">
        <v>91</v>
      </c>
      <c r="AH68" t="s">
        <v>191</v>
      </c>
      <c r="AI68" t="s">
        <v>74</v>
      </c>
      <c r="AJ68" t="s">
        <v>75</v>
      </c>
      <c r="AK68" t="s">
        <v>76</v>
      </c>
      <c r="AL68" t="s">
        <v>135</v>
      </c>
      <c r="AM68" t="s">
        <v>78</v>
      </c>
      <c r="AN68" t="b">
        <v>0</v>
      </c>
      <c r="AO68">
        <v>1019</v>
      </c>
      <c r="AP68" t="s">
        <v>65</v>
      </c>
      <c r="AQ68" t="b">
        <v>1</v>
      </c>
      <c r="AR68">
        <v>0</v>
      </c>
      <c r="AS68">
        <v>0</v>
      </c>
      <c r="AT68">
        <v>0</v>
      </c>
      <c r="AU68">
        <v>0</v>
      </c>
      <c r="AV68">
        <v>0</v>
      </c>
      <c r="AW68" t="b">
        <v>0</v>
      </c>
      <c r="AX68" t="b">
        <v>0</v>
      </c>
      <c r="AY68" t="s">
        <v>79</v>
      </c>
      <c r="AZ68" t="b">
        <v>0</v>
      </c>
      <c r="BA68" t="s">
        <v>136</v>
      </c>
      <c r="BB68" t="s">
        <v>204</v>
      </c>
      <c r="BC68" t="s">
        <v>138</v>
      </c>
      <c r="BD68" t="b">
        <v>0</v>
      </c>
      <c r="BF68" t="b">
        <v>0</v>
      </c>
    </row>
    <row r="69" spans="1:58" x14ac:dyDescent="0.25">
      <c r="A69">
        <v>3.2</v>
      </c>
      <c r="B69">
        <v>118481</v>
      </c>
      <c r="C69" t="s">
        <v>144</v>
      </c>
      <c r="D69" t="s">
        <v>145</v>
      </c>
      <c r="E69">
        <v>0.8208333333333333</v>
      </c>
      <c r="G69">
        <v>1</v>
      </c>
      <c r="H69">
        <v>2949</v>
      </c>
      <c r="K69" t="b">
        <v>0</v>
      </c>
      <c r="M69">
        <v>892542</v>
      </c>
      <c r="N69" t="s">
        <v>146</v>
      </c>
      <c r="O69">
        <v>1787911934859</v>
      </c>
      <c r="P69" t="s">
        <v>65</v>
      </c>
      <c r="S69" t="s">
        <v>147</v>
      </c>
      <c r="T69" t="s">
        <v>67</v>
      </c>
      <c r="U69" t="s">
        <v>119</v>
      </c>
      <c r="V69">
        <v>223346</v>
      </c>
      <c r="W69" t="b">
        <v>0</v>
      </c>
      <c r="X69">
        <v>0</v>
      </c>
      <c r="Y69" t="s">
        <v>148</v>
      </c>
      <c r="Z69" t="b">
        <v>1</v>
      </c>
      <c r="AA69" t="s">
        <v>149</v>
      </c>
      <c r="AB69">
        <v>280826008430</v>
      </c>
      <c r="AC69" t="s">
        <v>150</v>
      </c>
      <c r="AD69" t="s">
        <v>150</v>
      </c>
      <c r="AE69">
        <v>10</v>
      </c>
      <c r="AF69">
        <v>6</v>
      </c>
      <c r="AG69" t="s">
        <v>91</v>
      </c>
      <c r="AH69" t="s">
        <v>147</v>
      </c>
      <c r="AI69" t="s">
        <v>74</v>
      </c>
      <c r="AJ69" t="s">
        <v>75</v>
      </c>
      <c r="AK69" t="s">
        <v>76</v>
      </c>
      <c r="AL69" t="s">
        <v>151</v>
      </c>
      <c r="AM69" t="s">
        <v>78</v>
      </c>
      <c r="AN69" t="b">
        <v>0</v>
      </c>
      <c r="AO69">
        <v>1019</v>
      </c>
      <c r="AP69" t="s">
        <v>65</v>
      </c>
      <c r="AQ69" t="b">
        <v>1</v>
      </c>
      <c r="AR69">
        <v>0</v>
      </c>
      <c r="AS69">
        <v>0</v>
      </c>
      <c r="AT69">
        <v>0</v>
      </c>
      <c r="AU69">
        <v>0</v>
      </c>
      <c r="AV69">
        <v>0</v>
      </c>
      <c r="AW69" t="b">
        <v>0</v>
      </c>
      <c r="AX69" t="b">
        <v>0</v>
      </c>
      <c r="AY69" t="s">
        <v>79</v>
      </c>
      <c r="AZ69" t="b">
        <v>0</v>
      </c>
      <c r="BA69" t="s">
        <v>152</v>
      </c>
      <c r="BB69" t="s">
        <v>153</v>
      </c>
      <c r="BC69" t="s">
        <v>82</v>
      </c>
      <c r="BD69" t="b">
        <v>0</v>
      </c>
      <c r="BF69" t="b">
        <v>0</v>
      </c>
    </row>
    <row r="70" spans="1:58" x14ac:dyDescent="0.25">
      <c r="A70">
        <v>3.7</v>
      </c>
      <c r="B70">
        <v>6800</v>
      </c>
      <c r="C70" t="s">
        <v>165</v>
      </c>
      <c r="D70" t="s">
        <v>166</v>
      </c>
      <c r="E70">
        <v>0.92569444444444449</v>
      </c>
      <c r="G70">
        <v>1</v>
      </c>
      <c r="H70">
        <v>2639</v>
      </c>
      <c r="K70" t="b">
        <v>0</v>
      </c>
      <c r="M70">
        <v>19934</v>
      </c>
      <c r="N70" t="s">
        <v>167</v>
      </c>
      <c r="O70">
        <v>1787316218988</v>
      </c>
      <c r="P70" t="s">
        <v>65</v>
      </c>
      <c r="S70" t="s">
        <v>168</v>
      </c>
      <c r="T70" t="s">
        <v>67</v>
      </c>
      <c r="U70" t="s">
        <v>169</v>
      </c>
      <c r="V70">
        <v>21746</v>
      </c>
      <c r="W70" t="b">
        <v>0</v>
      </c>
      <c r="X70">
        <v>0</v>
      </c>
      <c r="Y70" t="s">
        <v>170</v>
      </c>
      <c r="Z70" t="b">
        <v>1</v>
      </c>
      <c r="AA70" t="s">
        <v>171</v>
      </c>
      <c r="AB70">
        <v>210826932923</v>
      </c>
      <c r="AC70" t="s">
        <v>172</v>
      </c>
      <c r="AD70" t="s">
        <v>172</v>
      </c>
      <c r="AE70">
        <v>13</v>
      </c>
      <c r="AF70">
        <v>8</v>
      </c>
      <c r="AG70" t="s">
        <v>91</v>
      </c>
      <c r="AH70" t="s">
        <v>168</v>
      </c>
      <c r="AI70" t="s">
        <v>74</v>
      </c>
      <c r="AJ70" t="s">
        <v>75</v>
      </c>
      <c r="AK70" t="s">
        <v>76</v>
      </c>
      <c r="AL70" t="s">
        <v>135</v>
      </c>
      <c r="AM70" t="s">
        <v>78</v>
      </c>
      <c r="AN70" t="b">
        <v>0</v>
      </c>
      <c r="AO70">
        <v>1028</v>
      </c>
      <c r="AP70" t="s">
        <v>65</v>
      </c>
      <c r="AQ70" t="b">
        <v>1</v>
      </c>
      <c r="AR70">
        <v>0</v>
      </c>
      <c r="AS70">
        <v>0</v>
      </c>
      <c r="AT70">
        <v>0</v>
      </c>
      <c r="AU70">
        <v>0</v>
      </c>
      <c r="AV70">
        <v>0</v>
      </c>
      <c r="AW70" t="b">
        <v>0</v>
      </c>
      <c r="AX70" t="b">
        <v>0</v>
      </c>
      <c r="AY70" t="s">
        <v>79</v>
      </c>
      <c r="AZ70" t="b">
        <v>0</v>
      </c>
      <c r="BA70" t="s">
        <v>173</v>
      </c>
      <c r="BB70" t="s">
        <v>174</v>
      </c>
      <c r="BC70" t="s">
        <v>175</v>
      </c>
      <c r="BD70" t="b">
        <v>0</v>
      </c>
      <c r="BF70" t="b">
        <v>0</v>
      </c>
    </row>
    <row r="71" spans="1:58" x14ac:dyDescent="0.25">
      <c r="A71">
        <v>3.5</v>
      </c>
      <c r="B71">
        <v>50684</v>
      </c>
      <c r="C71" t="s">
        <v>205</v>
      </c>
      <c r="D71" t="s">
        <v>206</v>
      </c>
      <c r="E71">
        <v>0.90694444444444444</v>
      </c>
      <c r="G71">
        <v>1</v>
      </c>
      <c r="I71">
        <v>1</v>
      </c>
      <c r="J71" t="s">
        <v>207</v>
      </c>
      <c r="K71" t="b">
        <v>0</v>
      </c>
      <c r="M71">
        <v>124269780</v>
      </c>
      <c r="N71" t="s">
        <v>208</v>
      </c>
      <c r="O71">
        <v>1787573805796</v>
      </c>
      <c r="P71" t="s">
        <v>65</v>
      </c>
      <c r="Q71" t="s">
        <v>209</v>
      </c>
      <c r="R71" t="b">
        <v>0</v>
      </c>
      <c r="S71" t="s">
        <v>210</v>
      </c>
      <c r="T71" t="s">
        <v>67</v>
      </c>
      <c r="U71" t="s">
        <v>211</v>
      </c>
      <c r="V71">
        <v>13832</v>
      </c>
      <c r="W71" t="b">
        <v>0</v>
      </c>
      <c r="X71">
        <v>0</v>
      </c>
      <c r="Y71" t="s">
        <v>212</v>
      </c>
      <c r="Z71" t="b">
        <v>0</v>
      </c>
      <c r="AA71" t="s">
        <v>213</v>
      </c>
      <c r="AB71">
        <v>170826004896</v>
      </c>
      <c r="AC71" t="s">
        <v>214</v>
      </c>
      <c r="AD71" t="s">
        <v>214</v>
      </c>
      <c r="AE71">
        <v>8</v>
      </c>
      <c r="AF71">
        <v>5</v>
      </c>
      <c r="AG71" t="s">
        <v>91</v>
      </c>
      <c r="AH71" t="s">
        <v>210</v>
      </c>
      <c r="AI71" t="s">
        <v>74</v>
      </c>
      <c r="AJ71" t="s">
        <v>75</v>
      </c>
      <c r="AK71" t="s">
        <v>76</v>
      </c>
      <c r="AL71" t="s">
        <v>215</v>
      </c>
      <c r="AM71" t="s">
        <v>78</v>
      </c>
      <c r="AN71" t="b">
        <v>1</v>
      </c>
      <c r="AO71">
        <v>1028</v>
      </c>
      <c r="AP71" t="s">
        <v>65</v>
      </c>
      <c r="AQ71" t="b">
        <v>1</v>
      </c>
      <c r="AR71">
        <v>0</v>
      </c>
      <c r="AS71">
        <v>0</v>
      </c>
      <c r="AT71">
        <v>0</v>
      </c>
      <c r="AU71">
        <v>0</v>
      </c>
      <c r="AV71">
        <v>0</v>
      </c>
      <c r="AW71" t="b">
        <v>0</v>
      </c>
      <c r="AX71" t="b">
        <v>0</v>
      </c>
      <c r="AY71" t="s">
        <v>79</v>
      </c>
      <c r="AZ71" t="b">
        <v>0</v>
      </c>
      <c r="BA71" t="s">
        <v>216</v>
      </c>
      <c r="BB71" t="s">
        <v>217</v>
      </c>
      <c r="BC71" t="s">
        <v>218</v>
      </c>
      <c r="BD71" t="b">
        <v>0</v>
      </c>
      <c r="BE71">
        <v>1000</v>
      </c>
      <c r="BF71" t="b">
        <v>0</v>
      </c>
    </row>
    <row r="72" spans="1:58" x14ac:dyDescent="0.25">
      <c r="A72">
        <v>3.6</v>
      </c>
      <c r="B72">
        <v>55803</v>
      </c>
      <c r="C72" t="s">
        <v>269</v>
      </c>
      <c r="D72" t="s">
        <v>270</v>
      </c>
      <c r="E72">
        <v>0.58402777777777781</v>
      </c>
      <c r="G72">
        <v>1</v>
      </c>
      <c r="K72" t="b">
        <v>0</v>
      </c>
      <c r="M72">
        <v>7053</v>
      </c>
      <c r="N72" t="s">
        <v>271</v>
      </c>
      <c r="O72">
        <v>1787891469293</v>
      </c>
      <c r="P72" t="s">
        <v>65</v>
      </c>
      <c r="S72" t="s">
        <v>147</v>
      </c>
      <c r="T72" t="s">
        <v>67</v>
      </c>
      <c r="U72" t="s">
        <v>119</v>
      </c>
      <c r="V72">
        <v>1288</v>
      </c>
      <c r="W72" t="b">
        <v>0</v>
      </c>
      <c r="X72">
        <v>0</v>
      </c>
      <c r="Y72" t="s">
        <v>272</v>
      </c>
      <c r="Z72" t="b">
        <v>1</v>
      </c>
      <c r="AA72" t="s">
        <v>273</v>
      </c>
      <c r="AB72">
        <v>280826002654</v>
      </c>
      <c r="AC72" t="s">
        <v>274</v>
      </c>
      <c r="AD72" t="s">
        <v>274</v>
      </c>
      <c r="AE72">
        <v>10</v>
      </c>
      <c r="AF72">
        <v>6</v>
      </c>
      <c r="AG72" t="s">
        <v>91</v>
      </c>
      <c r="AH72" t="s">
        <v>147</v>
      </c>
      <c r="AI72" t="s">
        <v>74</v>
      </c>
      <c r="AJ72" t="s">
        <v>75</v>
      </c>
      <c r="AK72" t="s">
        <v>76</v>
      </c>
      <c r="AL72" t="s">
        <v>275</v>
      </c>
      <c r="AM72" t="s">
        <v>78</v>
      </c>
      <c r="AN72" t="b">
        <v>0</v>
      </c>
      <c r="AO72">
        <v>1008</v>
      </c>
      <c r="AP72" t="s">
        <v>65</v>
      </c>
      <c r="AQ72" t="b">
        <v>1</v>
      </c>
      <c r="AR72">
        <v>0</v>
      </c>
      <c r="AS72">
        <v>0</v>
      </c>
      <c r="AT72">
        <v>0</v>
      </c>
      <c r="AU72">
        <v>0</v>
      </c>
      <c r="AV72">
        <v>0</v>
      </c>
      <c r="AW72" t="b">
        <v>0</v>
      </c>
      <c r="AX72" t="b">
        <v>0</v>
      </c>
      <c r="AY72" t="s">
        <v>79</v>
      </c>
      <c r="AZ72" t="b">
        <v>0</v>
      </c>
      <c r="BA72" t="s">
        <v>276</v>
      </c>
      <c r="BB72" t="s">
        <v>277</v>
      </c>
      <c r="BC72" t="s">
        <v>278</v>
      </c>
      <c r="BD72" t="b">
        <v>0</v>
      </c>
      <c r="BE72">
        <v>4</v>
      </c>
      <c r="BF72" t="b">
        <v>0</v>
      </c>
    </row>
    <row r="73" spans="1:58" x14ac:dyDescent="0.25">
      <c r="A73">
        <v>3.2</v>
      </c>
      <c r="B73">
        <v>118481</v>
      </c>
      <c r="C73" t="s">
        <v>144</v>
      </c>
      <c r="D73" t="s">
        <v>145</v>
      </c>
      <c r="E73">
        <v>0.8208333333333333</v>
      </c>
      <c r="G73">
        <v>1</v>
      </c>
      <c r="H73">
        <v>2949</v>
      </c>
      <c r="K73" t="b">
        <v>0</v>
      </c>
      <c r="M73">
        <v>892542</v>
      </c>
      <c r="N73" t="s">
        <v>146</v>
      </c>
      <c r="O73">
        <v>1787911934859</v>
      </c>
      <c r="P73" t="s">
        <v>65</v>
      </c>
      <c r="S73" t="s">
        <v>147</v>
      </c>
      <c r="T73" t="s">
        <v>67</v>
      </c>
      <c r="U73" t="s">
        <v>119</v>
      </c>
      <c r="V73">
        <v>223346</v>
      </c>
      <c r="W73" t="b">
        <v>0</v>
      </c>
      <c r="X73">
        <v>0</v>
      </c>
      <c r="Y73" t="s">
        <v>148</v>
      </c>
      <c r="Z73" t="b">
        <v>1</v>
      </c>
      <c r="AA73" t="s">
        <v>149</v>
      </c>
      <c r="AB73">
        <v>280826008430</v>
      </c>
      <c r="AC73" t="s">
        <v>150</v>
      </c>
      <c r="AD73" t="s">
        <v>150</v>
      </c>
      <c r="AE73">
        <v>10</v>
      </c>
      <c r="AF73">
        <v>6</v>
      </c>
      <c r="AG73" t="s">
        <v>91</v>
      </c>
      <c r="AH73" t="s">
        <v>147</v>
      </c>
      <c r="AI73" t="s">
        <v>74</v>
      </c>
      <c r="AJ73" t="s">
        <v>75</v>
      </c>
      <c r="AK73" t="s">
        <v>76</v>
      </c>
      <c r="AL73" t="s">
        <v>151</v>
      </c>
      <c r="AM73" t="s">
        <v>78</v>
      </c>
      <c r="AN73" t="b">
        <v>0</v>
      </c>
      <c r="AO73">
        <v>1019</v>
      </c>
      <c r="AP73" t="s">
        <v>65</v>
      </c>
      <c r="AQ73" t="b">
        <v>1</v>
      </c>
      <c r="AR73">
        <v>0</v>
      </c>
      <c r="AS73">
        <v>0</v>
      </c>
      <c r="AT73">
        <v>0</v>
      </c>
      <c r="AU73">
        <v>0</v>
      </c>
      <c r="AV73">
        <v>0</v>
      </c>
      <c r="AW73" t="b">
        <v>0</v>
      </c>
      <c r="AX73" t="b">
        <v>0</v>
      </c>
      <c r="AY73" t="s">
        <v>79</v>
      </c>
      <c r="AZ73" t="b">
        <v>0</v>
      </c>
      <c r="BA73" t="s">
        <v>152</v>
      </c>
      <c r="BB73" t="s">
        <v>153</v>
      </c>
      <c r="BC73" t="s">
        <v>82</v>
      </c>
      <c r="BD73" t="b">
        <v>0</v>
      </c>
      <c r="BF73" t="b">
        <v>0</v>
      </c>
    </row>
    <row r="74" spans="1:58" x14ac:dyDescent="0.25">
      <c r="A74">
        <v>3.3</v>
      </c>
      <c r="B74">
        <v>44982</v>
      </c>
      <c r="C74" t="s">
        <v>279</v>
      </c>
      <c r="D74" t="s">
        <v>280</v>
      </c>
      <c r="E74">
        <v>0.87916666666666665</v>
      </c>
      <c r="G74">
        <v>1</v>
      </c>
      <c r="K74" t="b">
        <v>0</v>
      </c>
      <c r="M74">
        <v>100007</v>
      </c>
      <c r="N74" t="s">
        <v>281</v>
      </c>
      <c r="O74">
        <v>1787916961913</v>
      </c>
      <c r="P74" t="s">
        <v>65</v>
      </c>
      <c r="S74" t="s">
        <v>282</v>
      </c>
      <c r="T74" t="s">
        <v>67</v>
      </c>
      <c r="U74" t="s">
        <v>119</v>
      </c>
      <c r="V74">
        <v>2114</v>
      </c>
      <c r="W74" t="b">
        <v>0</v>
      </c>
      <c r="X74">
        <v>0</v>
      </c>
      <c r="Y74" t="s">
        <v>283</v>
      </c>
      <c r="Z74" t="b">
        <v>1</v>
      </c>
      <c r="AA74" t="s">
        <v>284</v>
      </c>
      <c r="AB74">
        <v>280826009678</v>
      </c>
      <c r="AC74" t="s">
        <v>285</v>
      </c>
      <c r="AD74" t="s">
        <v>285</v>
      </c>
      <c r="AE74">
        <v>11</v>
      </c>
      <c r="AF74">
        <v>7</v>
      </c>
      <c r="AG74" t="s">
        <v>91</v>
      </c>
      <c r="AH74" t="s">
        <v>282</v>
      </c>
      <c r="AI74" t="s">
        <v>74</v>
      </c>
      <c r="AJ74" t="s">
        <v>75</v>
      </c>
      <c r="AK74" t="s">
        <v>76</v>
      </c>
      <c r="AL74" t="s">
        <v>222</v>
      </c>
      <c r="AM74" t="s">
        <v>78</v>
      </c>
      <c r="AN74" t="b">
        <v>1</v>
      </c>
      <c r="AO74">
        <v>1019</v>
      </c>
      <c r="AP74" t="s">
        <v>65</v>
      </c>
      <c r="AQ74" t="b">
        <v>1</v>
      </c>
      <c r="AR74">
        <v>0</v>
      </c>
      <c r="AS74">
        <v>0</v>
      </c>
      <c r="AT74">
        <v>0</v>
      </c>
      <c r="AU74">
        <v>0</v>
      </c>
      <c r="AV74">
        <v>0</v>
      </c>
      <c r="AW74" t="b">
        <v>0</v>
      </c>
      <c r="AX74" t="b">
        <v>0</v>
      </c>
      <c r="AY74" t="s">
        <v>79</v>
      </c>
      <c r="AZ74" t="b">
        <v>0</v>
      </c>
      <c r="BA74" t="s">
        <v>286</v>
      </c>
      <c r="BB74" t="s">
        <v>287</v>
      </c>
      <c r="BC74" t="s">
        <v>82</v>
      </c>
      <c r="BD74" t="b">
        <v>0</v>
      </c>
      <c r="BE74">
        <v>5</v>
      </c>
      <c r="BF74" t="b">
        <v>0</v>
      </c>
    </row>
    <row r="75" spans="1:58" x14ac:dyDescent="0.25">
      <c r="A75">
        <v>3.9</v>
      </c>
      <c r="B75">
        <v>26716</v>
      </c>
      <c r="C75" t="s">
        <v>126</v>
      </c>
      <c r="D75" t="s">
        <v>127</v>
      </c>
      <c r="E75">
        <v>0.74861111111111112</v>
      </c>
      <c r="F75" t="s">
        <v>128</v>
      </c>
      <c r="G75">
        <v>1</v>
      </c>
      <c r="H75">
        <v>10201</v>
      </c>
      <c r="K75" t="b">
        <v>1</v>
      </c>
      <c r="L75" t="s">
        <v>129</v>
      </c>
      <c r="M75">
        <v>16987</v>
      </c>
      <c r="N75" t="s">
        <v>130</v>
      </c>
      <c r="O75">
        <v>1787819294543</v>
      </c>
      <c r="P75" t="s">
        <v>65</v>
      </c>
      <c r="S75" t="s">
        <v>131</v>
      </c>
      <c r="T75" t="s">
        <v>67</v>
      </c>
      <c r="U75" t="s">
        <v>87</v>
      </c>
      <c r="V75">
        <v>19288</v>
      </c>
      <c r="W75" t="b">
        <v>0</v>
      </c>
      <c r="X75">
        <v>0</v>
      </c>
      <c r="Y75" t="s">
        <v>132</v>
      </c>
      <c r="Z75" t="b">
        <v>0</v>
      </c>
      <c r="AA75" t="s">
        <v>133</v>
      </c>
      <c r="AB75">
        <v>270826917532</v>
      </c>
      <c r="AC75" t="s">
        <v>134</v>
      </c>
      <c r="AD75" t="s">
        <v>134</v>
      </c>
      <c r="AE75">
        <v>8</v>
      </c>
      <c r="AF75">
        <v>6</v>
      </c>
      <c r="AG75" t="s">
        <v>91</v>
      </c>
      <c r="AH75" t="s">
        <v>131</v>
      </c>
      <c r="AI75" t="s">
        <v>74</v>
      </c>
      <c r="AJ75" t="s">
        <v>75</v>
      </c>
      <c r="AK75" t="s">
        <v>76</v>
      </c>
      <c r="AL75" t="s">
        <v>135</v>
      </c>
      <c r="AM75" t="s">
        <v>78</v>
      </c>
      <c r="AN75" t="b">
        <v>0</v>
      </c>
      <c r="AO75">
        <v>1019</v>
      </c>
      <c r="AP75" t="s">
        <v>65</v>
      </c>
      <c r="AQ75" t="b">
        <v>1</v>
      </c>
      <c r="AR75">
        <v>0</v>
      </c>
      <c r="AS75">
        <v>0</v>
      </c>
      <c r="AT75">
        <v>0</v>
      </c>
      <c r="AU75">
        <v>0</v>
      </c>
      <c r="AV75">
        <v>0</v>
      </c>
      <c r="AW75" t="b">
        <v>0</v>
      </c>
      <c r="AX75" t="b">
        <v>0</v>
      </c>
      <c r="AY75" t="s">
        <v>79</v>
      </c>
      <c r="AZ75" t="b">
        <v>0</v>
      </c>
      <c r="BA75" t="s">
        <v>136</v>
      </c>
      <c r="BB75" t="s">
        <v>137</v>
      </c>
      <c r="BC75" t="s">
        <v>138</v>
      </c>
      <c r="BD75" t="b">
        <v>0</v>
      </c>
      <c r="BF75" t="b">
        <v>0</v>
      </c>
    </row>
    <row r="76" spans="1:58" x14ac:dyDescent="0.25">
      <c r="A76">
        <v>3.4</v>
      </c>
      <c r="B76">
        <v>47884</v>
      </c>
      <c r="C76" t="s">
        <v>83</v>
      </c>
      <c r="D76" t="s">
        <v>84</v>
      </c>
      <c r="E76">
        <v>0.62777777777777777</v>
      </c>
      <c r="G76">
        <v>1</v>
      </c>
      <c r="H76">
        <v>3730</v>
      </c>
      <c r="K76" t="b">
        <v>0</v>
      </c>
      <c r="M76">
        <v>2904476</v>
      </c>
      <c r="N76" t="s">
        <v>85</v>
      </c>
      <c r="O76">
        <v>1787808879920</v>
      </c>
      <c r="P76" t="s">
        <v>65</v>
      </c>
      <c r="S76" t="s">
        <v>86</v>
      </c>
      <c r="T76" t="s">
        <v>67</v>
      </c>
      <c r="U76" t="s">
        <v>87</v>
      </c>
      <c r="V76">
        <v>194354</v>
      </c>
      <c r="W76" t="b">
        <v>0</v>
      </c>
      <c r="X76">
        <v>0</v>
      </c>
      <c r="Y76" t="s">
        <v>88</v>
      </c>
      <c r="Z76" t="b">
        <v>1</v>
      </c>
      <c r="AA76" t="s">
        <v>89</v>
      </c>
      <c r="AB76">
        <v>270826010477</v>
      </c>
      <c r="AC76" t="s">
        <v>90</v>
      </c>
      <c r="AD76" t="s">
        <v>90</v>
      </c>
      <c r="AE76">
        <v>7</v>
      </c>
      <c r="AF76">
        <v>4</v>
      </c>
      <c r="AG76" t="s">
        <v>91</v>
      </c>
      <c r="AH76" t="s">
        <v>86</v>
      </c>
      <c r="AI76" t="s">
        <v>74</v>
      </c>
      <c r="AJ76" t="s">
        <v>75</v>
      </c>
      <c r="AK76" t="s">
        <v>76</v>
      </c>
      <c r="AL76" t="s">
        <v>92</v>
      </c>
      <c r="AM76" t="s">
        <v>78</v>
      </c>
      <c r="AN76" t="b">
        <v>1</v>
      </c>
      <c r="AO76">
        <v>1020</v>
      </c>
      <c r="AP76" t="s">
        <v>65</v>
      </c>
      <c r="AQ76" t="b">
        <v>1</v>
      </c>
      <c r="AR76">
        <v>0</v>
      </c>
      <c r="AS76">
        <v>0</v>
      </c>
      <c r="AT76">
        <v>0</v>
      </c>
      <c r="AU76">
        <v>0</v>
      </c>
      <c r="AV76">
        <v>0</v>
      </c>
      <c r="AW76" t="b">
        <v>0</v>
      </c>
      <c r="AX76" t="b">
        <v>0</v>
      </c>
      <c r="AY76" t="s">
        <v>79</v>
      </c>
      <c r="AZ76" t="b">
        <v>0</v>
      </c>
      <c r="BA76" t="s">
        <v>93</v>
      </c>
      <c r="BB76" t="s">
        <v>94</v>
      </c>
      <c r="BC76" t="s">
        <v>82</v>
      </c>
      <c r="BD76" t="b">
        <v>0</v>
      </c>
      <c r="BF76" t="b">
        <v>0</v>
      </c>
    </row>
    <row r="77" spans="1:58" x14ac:dyDescent="0.25">
      <c r="A77">
        <v>3.3</v>
      </c>
      <c r="B77">
        <v>13397</v>
      </c>
      <c r="C77" t="s">
        <v>95</v>
      </c>
      <c r="D77" t="s">
        <v>96</v>
      </c>
      <c r="E77">
        <v>0.69722222222222219</v>
      </c>
      <c r="G77">
        <v>1</v>
      </c>
      <c r="K77" t="b">
        <v>0</v>
      </c>
      <c r="M77">
        <v>676499</v>
      </c>
      <c r="N77" t="s">
        <v>97</v>
      </c>
      <c r="O77">
        <v>1787728452770</v>
      </c>
      <c r="P77" t="s">
        <v>65</v>
      </c>
      <c r="S77" t="s">
        <v>98</v>
      </c>
      <c r="T77" t="s">
        <v>67</v>
      </c>
      <c r="U77" t="s">
        <v>99</v>
      </c>
      <c r="V77">
        <v>9246</v>
      </c>
      <c r="W77" t="b">
        <v>0</v>
      </c>
      <c r="X77">
        <v>0</v>
      </c>
      <c r="Y77" t="s">
        <v>100</v>
      </c>
      <c r="Z77" t="b">
        <v>1</v>
      </c>
      <c r="AA77" t="s">
        <v>101</v>
      </c>
      <c r="AB77">
        <v>260826016031</v>
      </c>
      <c r="AC77" t="s">
        <v>102</v>
      </c>
      <c r="AD77" t="s">
        <v>102</v>
      </c>
      <c r="AE77">
        <v>8</v>
      </c>
      <c r="AF77">
        <v>4</v>
      </c>
      <c r="AG77" t="s">
        <v>91</v>
      </c>
      <c r="AH77" t="s">
        <v>98</v>
      </c>
      <c r="AI77" t="s">
        <v>74</v>
      </c>
      <c r="AJ77" t="s">
        <v>75</v>
      </c>
      <c r="AK77" t="s">
        <v>76</v>
      </c>
      <c r="AL77" t="s">
        <v>103</v>
      </c>
      <c r="AM77" t="s">
        <v>78</v>
      </c>
      <c r="AN77" t="b">
        <v>1</v>
      </c>
      <c r="AO77">
        <v>1019</v>
      </c>
      <c r="AP77" t="s">
        <v>65</v>
      </c>
      <c r="AQ77" t="b">
        <v>1</v>
      </c>
      <c r="AR77">
        <v>0</v>
      </c>
      <c r="AS77">
        <v>0</v>
      </c>
      <c r="AT77">
        <v>0</v>
      </c>
      <c r="AU77">
        <v>0</v>
      </c>
      <c r="AV77">
        <v>0</v>
      </c>
      <c r="AW77" t="b">
        <v>0</v>
      </c>
      <c r="AX77" t="b">
        <v>0</v>
      </c>
      <c r="AY77" t="s">
        <v>79</v>
      </c>
      <c r="AZ77" t="b">
        <v>0</v>
      </c>
      <c r="BA77" t="s">
        <v>104</v>
      </c>
      <c r="BB77" t="s">
        <v>105</v>
      </c>
      <c r="BC77" t="s">
        <v>82</v>
      </c>
      <c r="BD77" t="b">
        <v>0</v>
      </c>
      <c r="BE77">
        <v>4</v>
      </c>
      <c r="BF77" t="b">
        <v>0</v>
      </c>
    </row>
    <row r="78" spans="1:58" x14ac:dyDescent="0.25">
      <c r="A78">
        <v>3.7</v>
      </c>
      <c r="B78">
        <v>6800</v>
      </c>
      <c r="C78" t="s">
        <v>165</v>
      </c>
      <c r="D78" t="s">
        <v>166</v>
      </c>
      <c r="E78">
        <v>0.92569444444444449</v>
      </c>
      <c r="G78">
        <v>1</v>
      </c>
      <c r="H78">
        <v>2639</v>
      </c>
      <c r="K78" t="b">
        <v>0</v>
      </c>
      <c r="M78">
        <v>19934</v>
      </c>
      <c r="N78" t="s">
        <v>167</v>
      </c>
      <c r="O78">
        <v>1787316218988</v>
      </c>
      <c r="P78" t="s">
        <v>65</v>
      </c>
      <c r="S78" t="s">
        <v>168</v>
      </c>
      <c r="T78" t="s">
        <v>67</v>
      </c>
      <c r="U78" t="s">
        <v>169</v>
      </c>
      <c r="V78">
        <v>21746</v>
      </c>
      <c r="W78" t="b">
        <v>0</v>
      </c>
      <c r="X78">
        <v>0</v>
      </c>
      <c r="Y78" t="s">
        <v>170</v>
      </c>
      <c r="Z78" t="b">
        <v>1</v>
      </c>
      <c r="AA78" t="s">
        <v>171</v>
      </c>
      <c r="AB78">
        <v>210826932923</v>
      </c>
      <c r="AC78" t="s">
        <v>172</v>
      </c>
      <c r="AD78" t="s">
        <v>172</v>
      </c>
      <c r="AE78">
        <v>13</v>
      </c>
      <c r="AF78">
        <v>8</v>
      </c>
      <c r="AG78" t="s">
        <v>91</v>
      </c>
      <c r="AH78" t="s">
        <v>168</v>
      </c>
      <c r="AI78" t="s">
        <v>74</v>
      </c>
      <c r="AJ78" t="s">
        <v>75</v>
      </c>
      <c r="AK78" t="s">
        <v>76</v>
      </c>
      <c r="AL78" t="s">
        <v>135</v>
      </c>
      <c r="AM78" t="s">
        <v>78</v>
      </c>
      <c r="AN78" t="b">
        <v>0</v>
      </c>
      <c r="AO78">
        <v>1028</v>
      </c>
      <c r="AP78" t="s">
        <v>65</v>
      </c>
      <c r="AQ78" t="b">
        <v>1</v>
      </c>
      <c r="AR78">
        <v>0</v>
      </c>
      <c r="AS78">
        <v>0</v>
      </c>
      <c r="AT78">
        <v>0</v>
      </c>
      <c r="AU78">
        <v>0</v>
      </c>
      <c r="AV78">
        <v>0</v>
      </c>
      <c r="AW78" t="b">
        <v>0</v>
      </c>
      <c r="AX78" t="b">
        <v>0</v>
      </c>
      <c r="AY78" t="s">
        <v>79</v>
      </c>
      <c r="AZ78" t="b">
        <v>0</v>
      </c>
      <c r="BA78" t="s">
        <v>173</v>
      </c>
      <c r="BB78" t="s">
        <v>174</v>
      </c>
      <c r="BC78" t="s">
        <v>175</v>
      </c>
      <c r="BD78" t="b">
        <v>0</v>
      </c>
      <c r="BF78" t="b">
        <v>0</v>
      </c>
    </row>
    <row r="79" spans="1:58" x14ac:dyDescent="0.25">
      <c r="A79">
        <v>3.5</v>
      </c>
      <c r="B79">
        <v>50684</v>
      </c>
      <c r="C79" t="s">
        <v>205</v>
      </c>
      <c r="D79" t="s">
        <v>206</v>
      </c>
      <c r="E79">
        <v>0.90694444444444444</v>
      </c>
      <c r="G79">
        <v>1</v>
      </c>
      <c r="K79" t="b">
        <v>0</v>
      </c>
      <c r="M79">
        <v>124269780</v>
      </c>
      <c r="N79" t="s">
        <v>208</v>
      </c>
      <c r="O79">
        <v>1787573809755</v>
      </c>
      <c r="P79" t="s">
        <v>65</v>
      </c>
      <c r="S79" t="s">
        <v>254</v>
      </c>
      <c r="T79" t="s">
        <v>67</v>
      </c>
      <c r="U79" t="s">
        <v>211</v>
      </c>
      <c r="V79">
        <v>13832</v>
      </c>
      <c r="W79" t="b">
        <v>0</v>
      </c>
      <c r="X79">
        <v>0</v>
      </c>
      <c r="Y79" t="s">
        <v>255</v>
      </c>
      <c r="Z79" t="b">
        <v>1</v>
      </c>
      <c r="AA79" t="s">
        <v>213</v>
      </c>
      <c r="AB79">
        <v>170826030661</v>
      </c>
      <c r="AC79" t="s">
        <v>214</v>
      </c>
      <c r="AD79" t="s">
        <v>214</v>
      </c>
      <c r="AE79">
        <v>11</v>
      </c>
      <c r="AF79">
        <v>9</v>
      </c>
      <c r="AG79" t="s">
        <v>91</v>
      </c>
      <c r="AH79" t="s">
        <v>254</v>
      </c>
      <c r="AI79" t="s">
        <v>74</v>
      </c>
      <c r="AJ79" t="s">
        <v>75</v>
      </c>
      <c r="AK79" t="s">
        <v>76</v>
      </c>
      <c r="AL79" t="s">
        <v>215</v>
      </c>
      <c r="AM79" t="s">
        <v>78</v>
      </c>
      <c r="AN79" t="b">
        <v>1</v>
      </c>
      <c r="AO79">
        <v>1028</v>
      </c>
      <c r="AP79" t="s">
        <v>65</v>
      </c>
      <c r="AQ79" t="b">
        <v>1</v>
      </c>
      <c r="AR79">
        <v>0</v>
      </c>
      <c r="AS79">
        <v>0</v>
      </c>
      <c r="AT79">
        <v>0</v>
      </c>
      <c r="AU79">
        <v>0</v>
      </c>
      <c r="AV79">
        <v>0</v>
      </c>
      <c r="AW79" t="b">
        <v>0</v>
      </c>
      <c r="AX79" t="b">
        <v>0</v>
      </c>
      <c r="AY79" t="s">
        <v>79</v>
      </c>
      <c r="AZ79" t="b">
        <v>0</v>
      </c>
      <c r="BA79" t="s">
        <v>216</v>
      </c>
      <c r="BB79" t="s">
        <v>217</v>
      </c>
      <c r="BC79" t="s">
        <v>218</v>
      </c>
      <c r="BD79" t="b">
        <v>0</v>
      </c>
      <c r="BE79">
        <v>1000</v>
      </c>
      <c r="BF79" t="b">
        <v>0</v>
      </c>
    </row>
    <row r="80" spans="1:58" x14ac:dyDescent="0.25">
      <c r="A80">
        <v>4.2</v>
      </c>
      <c r="B80">
        <v>13</v>
      </c>
      <c r="C80" t="s">
        <v>288</v>
      </c>
      <c r="D80" t="s">
        <v>289</v>
      </c>
      <c r="E80">
        <v>0.78402777777777777</v>
      </c>
      <c r="F80" t="s">
        <v>290</v>
      </c>
      <c r="G80">
        <v>1</v>
      </c>
      <c r="K80" t="b">
        <v>1</v>
      </c>
      <c r="L80" t="s">
        <v>291</v>
      </c>
      <c r="M80">
        <v>3647062</v>
      </c>
      <c r="N80" t="s">
        <v>292</v>
      </c>
      <c r="O80">
        <v>1787735953000</v>
      </c>
      <c r="P80" t="s">
        <v>65</v>
      </c>
      <c r="S80" t="s">
        <v>191</v>
      </c>
      <c r="T80" t="s">
        <v>67</v>
      </c>
      <c r="U80" t="s">
        <v>99</v>
      </c>
      <c r="V80">
        <v>2884636</v>
      </c>
      <c r="W80" t="b">
        <v>0</v>
      </c>
      <c r="X80">
        <v>0</v>
      </c>
      <c r="Y80" t="s">
        <v>293</v>
      </c>
      <c r="Z80" t="b">
        <v>0</v>
      </c>
      <c r="AA80" t="s">
        <v>294</v>
      </c>
      <c r="AB80">
        <v>260826501368</v>
      </c>
      <c r="AC80" t="s">
        <v>295</v>
      </c>
      <c r="AD80" t="s">
        <v>295</v>
      </c>
      <c r="AE80">
        <v>10</v>
      </c>
      <c r="AF80">
        <v>5</v>
      </c>
      <c r="AG80" t="s">
        <v>73</v>
      </c>
      <c r="AH80" t="s">
        <v>191</v>
      </c>
      <c r="AI80" t="s">
        <v>74</v>
      </c>
      <c r="AJ80" t="s">
        <v>75</v>
      </c>
      <c r="AK80" t="s">
        <v>76</v>
      </c>
      <c r="AL80" t="s">
        <v>135</v>
      </c>
      <c r="AM80" t="s">
        <v>78</v>
      </c>
      <c r="AN80" t="b">
        <v>0</v>
      </c>
      <c r="AO80">
        <v>1028</v>
      </c>
      <c r="AP80" t="s">
        <v>65</v>
      </c>
      <c r="AQ80" t="b">
        <v>1</v>
      </c>
      <c r="AR80">
        <v>0</v>
      </c>
      <c r="AS80">
        <v>0</v>
      </c>
      <c r="AT80">
        <v>0</v>
      </c>
      <c r="AU80">
        <v>0</v>
      </c>
      <c r="AV80">
        <v>0</v>
      </c>
      <c r="AW80" t="b">
        <v>0</v>
      </c>
      <c r="AX80" t="b">
        <v>0</v>
      </c>
      <c r="AY80" t="s">
        <v>79</v>
      </c>
      <c r="AZ80" t="b">
        <v>0</v>
      </c>
      <c r="BA80" t="s">
        <v>296</v>
      </c>
      <c r="BB80" t="s">
        <v>297</v>
      </c>
      <c r="BC80" t="s">
        <v>298</v>
      </c>
      <c r="BD80" t="b">
        <v>0</v>
      </c>
      <c r="BF80" t="b">
        <v>0</v>
      </c>
    </row>
    <row r="81" spans="1:58" x14ac:dyDescent="0.25">
      <c r="A81">
        <v>3.7</v>
      </c>
      <c r="B81">
        <v>63625</v>
      </c>
      <c r="C81" t="s">
        <v>299</v>
      </c>
      <c r="D81" t="s">
        <v>300</v>
      </c>
      <c r="E81">
        <v>0.96805555555555556</v>
      </c>
      <c r="G81">
        <v>1</v>
      </c>
      <c r="H81">
        <v>8927</v>
      </c>
      <c r="K81" t="b">
        <v>0</v>
      </c>
      <c r="M81">
        <v>2114</v>
      </c>
      <c r="N81" t="s">
        <v>301</v>
      </c>
      <c r="O81">
        <v>1787751894286</v>
      </c>
      <c r="P81" t="s">
        <v>65</v>
      </c>
      <c r="S81" t="s">
        <v>147</v>
      </c>
      <c r="T81" t="s">
        <v>67</v>
      </c>
      <c r="U81" t="s">
        <v>87</v>
      </c>
      <c r="V81">
        <v>4156</v>
      </c>
      <c r="W81" t="b">
        <v>0</v>
      </c>
      <c r="X81">
        <v>0</v>
      </c>
      <c r="Y81" t="s">
        <v>302</v>
      </c>
      <c r="Z81" t="b">
        <v>1</v>
      </c>
      <c r="AA81" t="s">
        <v>303</v>
      </c>
      <c r="AB81">
        <v>260826030665</v>
      </c>
      <c r="AC81" t="s">
        <v>304</v>
      </c>
      <c r="AD81" t="s">
        <v>304</v>
      </c>
      <c r="AE81">
        <v>10</v>
      </c>
      <c r="AF81">
        <v>6</v>
      </c>
      <c r="AG81" t="s">
        <v>91</v>
      </c>
      <c r="AH81" t="s">
        <v>147</v>
      </c>
      <c r="AI81" t="s">
        <v>74</v>
      </c>
      <c r="AJ81" t="s">
        <v>75</v>
      </c>
      <c r="AK81" t="s">
        <v>76</v>
      </c>
      <c r="AL81" t="s">
        <v>305</v>
      </c>
      <c r="AM81" t="s">
        <v>78</v>
      </c>
      <c r="AN81" t="b">
        <v>0</v>
      </c>
      <c r="AO81">
        <v>1028</v>
      </c>
      <c r="AP81" t="s">
        <v>65</v>
      </c>
      <c r="AQ81" t="b">
        <v>1</v>
      </c>
      <c r="AR81">
        <v>0</v>
      </c>
      <c r="AS81">
        <v>0</v>
      </c>
      <c r="AT81">
        <v>0</v>
      </c>
      <c r="AU81">
        <v>0</v>
      </c>
      <c r="AV81">
        <v>0</v>
      </c>
      <c r="AW81" t="b">
        <v>0</v>
      </c>
      <c r="AX81" t="b">
        <v>0</v>
      </c>
      <c r="AY81" t="s">
        <v>79</v>
      </c>
      <c r="AZ81" t="b">
        <v>0</v>
      </c>
      <c r="BA81" t="s">
        <v>306</v>
      </c>
      <c r="BB81" t="s">
        <v>307</v>
      </c>
      <c r="BC81" t="s">
        <v>224</v>
      </c>
      <c r="BD81" t="b">
        <v>0</v>
      </c>
      <c r="BF81" t="b">
        <v>0</v>
      </c>
    </row>
    <row r="82" spans="1:58" x14ac:dyDescent="0.25">
      <c r="A82">
        <v>3.5</v>
      </c>
      <c r="B82">
        <v>50684</v>
      </c>
      <c r="C82" t="s">
        <v>205</v>
      </c>
      <c r="D82" t="s">
        <v>206</v>
      </c>
      <c r="E82">
        <v>0.56666666666666665</v>
      </c>
      <c r="G82">
        <v>1</v>
      </c>
      <c r="K82" t="b">
        <v>0</v>
      </c>
      <c r="M82">
        <v>124269780</v>
      </c>
      <c r="N82" t="s">
        <v>208</v>
      </c>
      <c r="O82">
        <v>1787025993463</v>
      </c>
      <c r="P82" t="s">
        <v>65</v>
      </c>
      <c r="S82" t="s">
        <v>191</v>
      </c>
      <c r="T82" t="s">
        <v>67</v>
      </c>
      <c r="U82" t="s">
        <v>219</v>
      </c>
      <c r="V82">
        <v>13832</v>
      </c>
      <c r="W82" t="b">
        <v>0</v>
      </c>
      <c r="X82">
        <v>0</v>
      </c>
      <c r="Y82" t="s">
        <v>220</v>
      </c>
      <c r="Z82" t="b">
        <v>1</v>
      </c>
      <c r="AA82" t="s">
        <v>221</v>
      </c>
      <c r="AB82">
        <v>180826009185</v>
      </c>
      <c r="AC82" t="s">
        <v>214</v>
      </c>
      <c r="AD82" t="s">
        <v>214</v>
      </c>
      <c r="AE82">
        <v>10</v>
      </c>
      <c r="AF82">
        <v>5</v>
      </c>
      <c r="AG82" t="s">
        <v>91</v>
      </c>
      <c r="AH82" t="s">
        <v>191</v>
      </c>
      <c r="AI82" t="s">
        <v>74</v>
      </c>
      <c r="AJ82" t="s">
        <v>75</v>
      </c>
      <c r="AK82" t="s">
        <v>76</v>
      </c>
      <c r="AL82" t="s">
        <v>222</v>
      </c>
      <c r="AM82" t="s">
        <v>78</v>
      </c>
      <c r="AN82" t="b">
        <v>1</v>
      </c>
      <c r="AO82">
        <v>1028</v>
      </c>
      <c r="AP82" t="s">
        <v>65</v>
      </c>
      <c r="AQ82" t="b">
        <v>1</v>
      </c>
      <c r="AR82">
        <v>0</v>
      </c>
      <c r="AS82">
        <v>0</v>
      </c>
      <c r="AT82">
        <v>0</v>
      </c>
      <c r="AU82">
        <v>0</v>
      </c>
      <c r="AV82">
        <v>0</v>
      </c>
      <c r="AW82" t="b">
        <v>0</v>
      </c>
      <c r="AX82" t="b">
        <v>0</v>
      </c>
      <c r="AY82" t="s">
        <v>79</v>
      </c>
      <c r="AZ82" t="b">
        <v>0</v>
      </c>
      <c r="BA82" t="s">
        <v>216</v>
      </c>
      <c r="BB82" t="s">
        <v>223</v>
      </c>
      <c r="BC82" t="s">
        <v>224</v>
      </c>
      <c r="BD82" t="b">
        <v>0</v>
      </c>
      <c r="BE82">
        <v>100</v>
      </c>
      <c r="BF82" t="b">
        <v>0</v>
      </c>
    </row>
    <row r="83" spans="1:58" x14ac:dyDescent="0.25">
      <c r="A83">
        <v>3.4</v>
      </c>
      <c r="B83">
        <v>47884</v>
      </c>
      <c r="C83" t="s">
        <v>83</v>
      </c>
      <c r="D83" t="s">
        <v>84</v>
      </c>
      <c r="E83">
        <v>0.62777777777777777</v>
      </c>
      <c r="G83">
        <v>1</v>
      </c>
      <c r="H83">
        <v>3730</v>
      </c>
      <c r="K83" t="b">
        <v>0</v>
      </c>
      <c r="M83">
        <v>2904476</v>
      </c>
      <c r="N83" t="s">
        <v>85</v>
      </c>
      <c r="O83">
        <v>1787808879920</v>
      </c>
      <c r="P83" t="s">
        <v>65</v>
      </c>
      <c r="S83" t="s">
        <v>86</v>
      </c>
      <c r="T83" t="s">
        <v>67</v>
      </c>
      <c r="U83" t="s">
        <v>87</v>
      </c>
      <c r="V83">
        <v>194354</v>
      </c>
      <c r="W83" t="b">
        <v>0</v>
      </c>
      <c r="X83">
        <v>0</v>
      </c>
      <c r="Y83" t="s">
        <v>88</v>
      </c>
      <c r="Z83" t="b">
        <v>1</v>
      </c>
      <c r="AA83" t="s">
        <v>89</v>
      </c>
      <c r="AB83">
        <v>270826010477</v>
      </c>
      <c r="AC83" t="s">
        <v>90</v>
      </c>
      <c r="AD83" t="s">
        <v>90</v>
      </c>
      <c r="AE83">
        <v>7</v>
      </c>
      <c r="AF83">
        <v>4</v>
      </c>
      <c r="AG83" t="s">
        <v>91</v>
      </c>
      <c r="AH83" t="s">
        <v>86</v>
      </c>
      <c r="AI83" t="s">
        <v>74</v>
      </c>
      <c r="AJ83" t="s">
        <v>75</v>
      </c>
      <c r="AK83" t="s">
        <v>76</v>
      </c>
      <c r="AL83" t="s">
        <v>92</v>
      </c>
      <c r="AM83" t="s">
        <v>78</v>
      </c>
      <c r="AN83" t="b">
        <v>1</v>
      </c>
      <c r="AO83">
        <v>1020</v>
      </c>
      <c r="AP83" t="s">
        <v>65</v>
      </c>
      <c r="AQ83" t="b">
        <v>1</v>
      </c>
      <c r="AR83">
        <v>0</v>
      </c>
      <c r="AS83">
        <v>0</v>
      </c>
      <c r="AT83">
        <v>0</v>
      </c>
      <c r="AU83">
        <v>0</v>
      </c>
      <c r="AV83">
        <v>0</v>
      </c>
      <c r="AW83" t="b">
        <v>0</v>
      </c>
      <c r="AX83" t="b">
        <v>0</v>
      </c>
      <c r="AY83" t="s">
        <v>79</v>
      </c>
      <c r="AZ83" t="b">
        <v>0</v>
      </c>
      <c r="BA83" t="s">
        <v>93</v>
      </c>
      <c r="BB83" t="s">
        <v>94</v>
      </c>
      <c r="BC83" t="s">
        <v>82</v>
      </c>
      <c r="BD83" t="b">
        <v>0</v>
      </c>
      <c r="BF83" t="b">
        <v>0</v>
      </c>
    </row>
    <row r="84" spans="1:58" x14ac:dyDescent="0.25">
      <c r="A84">
        <v>3.8</v>
      </c>
      <c r="B84">
        <v>717</v>
      </c>
      <c r="C84" t="s">
        <v>225</v>
      </c>
      <c r="D84" t="s">
        <v>226</v>
      </c>
      <c r="E84">
        <v>0.67569444444444449</v>
      </c>
      <c r="G84">
        <v>1</v>
      </c>
      <c r="K84" t="b">
        <v>0</v>
      </c>
      <c r="M84">
        <v>114714</v>
      </c>
      <c r="N84" t="s">
        <v>227</v>
      </c>
      <c r="O84">
        <v>1787294628965</v>
      </c>
      <c r="P84" t="s">
        <v>65</v>
      </c>
      <c r="S84" t="s">
        <v>191</v>
      </c>
      <c r="T84" t="s">
        <v>67</v>
      </c>
      <c r="U84" t="s">
        <v>228</v>
      </c>
      <c r="V84">
        <v>4586641</v>
      </c>
      <c r="W84" t="b">
        <v>0</v>
      </c>
      <c r="X84">
        <v>0</v>
      </c>
      <c r="Y84" t="s">
        <v>229</v>
      </c>
      <c r="Z84" t="b">
        <v>1</v>
      </c>
      <c r="AA84" t="s">
        <v>230</v>
      </c>
      <c r="AB84">
        <v>210826009532</v>
      </c>
      <c r="AC84" t="s">
        <v>231</v>
      </c>
      <c r="AD84" t="s">
        <v>231</v>
      </c>
      <c r="AE84">
        <v>10</v>
      </c>
      <c r="AF84">
        <v>5</v>
      </c>
      <c r="AG84" t="s">
        <v>91</v>
      </c>
      <c r="AH84" t="s">
        <v>191</v>
      </c>
      <c r="AI84" t="s">
        <v>74</v>
      </c>
      <c r="AJ84" t="s">
        <v>75</v>
      </c>
      <c r="AK84" t="s">
        <v>76</v>
      </c>
      <c r="AL84" t="s">
        <v>232</v>
      </c>
      <c r="AM84" t="s">
        <v>78</v>
      </c>
      <c r="AN84" t="b">
        <v>1</v>
      </c>
      <c r="AO84">
        <v>1082</v>
      </c>
      <c r="AP84" t="s">
        <v>65</v>
      </c>
      <c r="AQ84" t="b">
        <v>1</v>
      </c>
      <c r="AR84">
        <v>0</v>
      </c>
      <c r="AS84">
        <v>0</v>
      </c>
      <c r="AT84">
        <v>0</v>
      </c>
      <c r="AU84">
        <v>0</v>
      </c>
      <c r="AV84">
        <v>0</v>
      </c>
      <c r="AW84" t="b">
        <v>0</v>
      </c>
      <c r="AX84" t="b">
        <v>0</v>
      </c>
      <c r="AY84" t="s">
        <v>79</v>
      </c>
      <c r="AZ84" t="b">
        <v>0</v>
      </c>
      <c r="BA84" t="s">
        <v>233</v>
      </c>
      <c r="BB84" t="s">
        <v>234</v>
      </c>
      <c r="BC84" t="s">
        <v>82</v>
      </c>
      <c r="BD84" t="b">
        <v>0</v>
      </c>
      <c r="BF84" t="b">
        <v>0</v>
      </c>
    </row>
    <row r="85" spans="1:58" x14ac:dyDescent="0.25">
      <c r="A85">
        <v>2.8</v>
      </c>
      <c r="B85">
        <v>98</v>
      </c>
      <c r="C85" t="s">
        <v>235</v>
      </c>
      <c r="D85" t="s">
        <v>236</v>
      </c>
      <c r="E85">
        <v>0.65069444444444446</v>
      </c>
      <c r="G85">
        <v>1</v>
      </c>
      <c r="H85">
        <v>16255</v>
      </c>
      <c r="K85" t="b">
        <v>0</v>
      </c>
      <c r="M85">
        <v>4804684</v>
      </c>
      <c r="N85" t="s">
        <v>237</v>
      </c>
      <c r="O85">
        <v>1787638049264</v>
      </c>
      <c r="P85" t="s">
        <v>65</v>
      </c>
      <c r="S85" t="s">
        <v>238</v>
      </c>
      <c r="T85" t="s">
        <v>67</v>
      </c>
      <c r="U85" t="s">
        <v>239</v>
      </c>
      <c r="V85">
        <v>4582011</v>
      </c>
      <c r="W85" t="b">
        <v>0</v>
      </c>
      <c r="X85">
        <v>0</v>
      </c>
      <c r="Y85" t="s">
        <v>240</v>
      </c>
      <c r="Z85" t="b">
        <v>1</v>
      </c>
      <c r="AA85" t="s">
        <v>241</v>
      </c>
      <c r="AB85">
        <v>250826012754</v>
      </c>
      <c r="AC85" t="s">
        <v>242</v>
      </c>
      <c r="AD85" t="s">
        <v>242</v>
      </c>
      <c r="AE85">
        <v>5</v>
      </c>
      <c r="AF85">
        <v>2</v>
      </c>
      <c r="AG85" t="s">
        <v>91</v>
      </c>
      <c r="AH85" t="s">
        <v>238</v>
      </c>
      <c r="AI85" t="s">
        <v>74</v>
      </c>
      <c r="AJ85" t="s">
        <v>75</v>
      </c>
      <c r="AK85" t="s">
        <v>76</v>
      </c>
      <c r="AL85" t="s">
        <v>135</v>
      </c>
      <c r="AM85" t="s">
        <v>78</v>
      </c>
      <c r="AN85" t="b">
        <v>1</v>
      </c>
      <c r="AO85">
        <v>1045</v>
      </c>
      <c r="AP85" t="s">
        <v>65</v>
      </c>
      <c r="AQ85" t="b">
        <v>1</v>
      </c>
      <c r="AR85">
        <v>0</v>
      </c>
      <c r="AS85">
        <v>0</v>
      </c>
      <c r="AT85">
        <v>0</v>
      </c>
      <c r="AU85">
        <v>0</v>
      </c>
      <c r="AV85">
        <v>0</v>
      </c>
      <c r="AW85" t="b">
        <v>0</v>
      </c>
      <c r="AX85" t="b">
        <v>0</v>
      </c>
      <c r="AY85" t="s">
        <v>79</v>
      </c>
      <c r="AZ85" t="b">
        <v>0</v>
      </c>
      <c r="BA85" t="s">
        <v>243</v>
      </c>
      <c r="BB85" t="s">
        <v>244</v>
      </c>
      <c r="BC85" t="s">
        <v>82</v>
      </c>
      <c r="BD85" t="b">
        <v>0</v>
      </c>
      <c r="BF85" t="b">
        <v>0</v>
      </c>
    </row>
    <row r="86" spans="1:58" x14ac:dyDescent="0.25">
      <c r="A86">
        <v>3.9</v>
      </c>
      <c r="B86">
        <v>4437</v>
      </c>
      <c r="C86" t="s">
        <v>245</v>
      </c>
      <c r="D86" t="s">
        <v>246</v>
      </c>
      <c r="E86">
        <v>0.89583333333333337</v>
      </c>
      <c r="G86">
        <v>1</v>
      </c>
      <c r="K86" t="b">
        <v>0</v>
      </c>
      <c r="M86">
        <v>3974784</v>
      </c>
      <c r="N86" t="s">
        <v>247</v>
      </c>
      <c r="O86">
        <v>1787659232918</v>
      </c>
      <c r="P86" t="s">
        <v>65</v>
      </c>
      <c r="S86" t="s">
        <v>181</v>
      </c>
      <c r="T86" t="s">
        <v>67</v>
      </c>
      <c r="U86" t="s">
        <v>239</v>
      </c>
      <c r="V86">
        <v>4608615</v>
      </c>
      <c r="W86" t="b">
        <v>0</v>
      </c>
      <c r="X86">
        <v>0</v>
      </c>
      <c r="Y86" t="s">
        <v>248</v>
      </c>
      <c r="Z86" t="b">
        <v>1</v>
      </c>
      <c r="AA86" t="s">
        <v>249</v>
      </c>
      <c r="AB86">
        <v>170426013396</v>
      </c>
      <c r="AC86" t="s">
        <v>250</v>
      </c>
      <c r="AD86" t="s">
        <v>250</v>
      </c>
      <c r="AE86">
        <v>7</v>
      </c>
      <c r="AF86">
        <v>3</v>
      </c>
      <c r="AG86" t="s">
        <v>91</v>
      </c>
      <c r="AH86" t="s">
        <v>181</v>
      </c>
      <c r="AI86" t="s">
        <v>74</v>
      </c>
      <c r="AJ86" t="s">
        <v>75</v>
      </c>
      <c r="AK86" t="s">
        <v>76</v>
      </c>
      <c r="AL86" t="s">
        <v>251</v>
      </c>
      <c r="AM86" t="s">
        <v>78</v>
      </c>
      <c r="AN86" t="b">
        <v>1</v>
      </c>
      <c r="AO86">
        <v>1019</v>
      </c>
      <c r="AP86" t="s">
        <v>65</v>
      </c>
      <c r="AQ86" t="b">
        <v>1</v>
      </c>
      <c r="AR86">
        <v>0</v>
      </c>
      <c r="AS86">
        <v>0</v>
      </c>
      <c r="AT86">
        <v>0</v>
      </c>
      <c r="AU86">
        <v>0</v>
      </c>
      <c r="AV86">
        <v>0</v>
      </c>
      <c r="AW86" t="b">
        <v>0</v>
      </c>
      <c r="AX86" t="b">
        <v>0</v>
      </c>
      <c r="AY86" t="s">
        <v>79</v>
      </c>
      <c r="AZ86" t="b">
        <v>0</v>
      </c>
      <c r="BA86" t="s">
        <v>252</v>
      </c>
      <c r="BB86" t="s">
        <v>253</v>
      </c>
      <c r="BC86" t="s">
        <v>224</v>
      </c>
      <c r="BD86" t="b">
        <v>0</v>
      </c>
      <c r="BE86">
        <v>3</v>
      </c>
      <c r="BF86" t="b">
        <v>0</v>
      </c>
    </row>
    <row r="87" spans="1:58" x14ac:dyDescent="0.25">
      <c r="A87">
        <v>3.2</v>
      </c>
      <c r="B87">
        <v>118481</v>
      </c>
      <c r="C87" t="s">
        <v>144</v>
      </c>
      <c r="D87" t="s">
        <v>145</v>
      </c>
      <c r="E87">
        <v>0.8208333333333333</v>
      </c>
      <c r="G87">
        <v>1</v>
      </c>
      <c r="H87">
        <v>2949</v>
      </c>
      <c r="K87" t="b">
        <v>0</v>
      </c>
      <c r="M87">
        <v>892542</v>
      </c>
      <c r="N87" t="s">
        <v>146</v>
      </c>
      <c r="O87">
        <v>1787911934859</v>
      </c>
      <c r="P87" t="s">
        <v>65</v>
      </c>
      <c r="S87" t="s">
        <v>147</v>
      </c>
      <c r="T87" t="s">
        <v>67</v>
      </c>
      <c r="U87" t="s">
        <v>119</v>
      </c>
      <c r="V87">
        <v>223346</v>
      </c>
      <c r="W87" t="b">
        <v>0</v>
      </c>
      <c r="X87">
        <v>0</v>
      </c>
      <c r="Y87" t="s">
        <v>148</v>
      </c>
      <c r="Z87" t="b">
        <v>1</v>
      </c>
      <c r="AA87" t="s">
        <v>149</v>
      </c>
      <c r="AB87">
        <v>280826008430</v>
      </c>
      <c r="AC87" t="s">
        <v>150</v>
      </c>
      <c r="AD87" t="s">
        <v>150</v>
      </c>
      <c r="AE87">
        <v>10</v>
      </c>
      <c r="AF87">
        <v>6</v>
      </c>
      <c r="AG87" t="s">
        <v>91</v>
      </c>
      <c r="AH87" t="s">
        <v>147</v>
      </c>
      <c r="AI87" t="s">
        <v>74</v>
      </c>
      <c r="AJ87" t="s">
        <v>75</v>
      </c>
      <c r="AK87" t="s">
        <v>76</v>
      </c>
      <c r="AL87" t="s">
        <v>151</v>
      </c>
      <c r="AM87" t="s">
        <v>78</v>
      </c>
      <c r="AN87" t="b">
        <v>0</v>
      </c>
      <c r="AO87">
        <v>1019</v>
      </c>
      <c r="AP87" t="s">
        <v>65</v>
      </c>
      <c r="AQ87" t="b">
        <v>1</v>
      </c>
      <c r="AR87">
        <v>0</v>
      </c>
      <c r="AS87">
        <v>0</v>
      </c>
      <c r="AT87">
        <v>0</v>
      </c>
      <c r="AU87">
        <v>0</v>
      </c>
      <c r="AV87">
        <v>0</v>
      </c>
      <c r="AW87" t="b">
        <v>0</v>
      </c>
      <c r="AX87" t="b">
        <v>0</v>
      </c>
      <c r="AY87" t="s">
        <v>79</v>
      </c>
      <c r="AZ87" t="b">
        <v>0</v>
      </c>
      <c r="BA87" t="s">
        <v>152</v>
      </c>
      <c r="BB87" t="s">
        <v>153</v>
      </c>
      <c r="BC87" t="s">
        <v>82</v>
      </c>
      <c r="BD87" t="b">
        <v>0</v>
      </c>
      <c r="BF87" t="b">
        <v>0</v>
      </c>
    </row>
    <row r="88" spans="1:58" x14ac:dyDescent="0.25">
      <c r="A88">
        <v>3.5</v>
      </c>
      <c r="B88">
        <v>50684</v>
      </c>
      <c r="C88" t="s">
        <v>205</v>
      </c>
      <c r="D88" t="s">
        <v>206</v>
      </c>
      <c r="E88">
        <v>0.90694444444444444</v>
      </c>
      <c r="G88">
        <v>1</v>
      </c>
      <c r="I88">
        <v>1</v>
      </c>
      <c r="J88" t="s">
        <v>207</v>
      </c>
      <c r="K88" t="b">
        <v>0</v>
      </c>
      <c r="M88">
        <v>124269780</v>
      </c>
      <c r="N88" t="s">
        <v>208</v>
      </c>
      <c r="O88">
        <v>1787573805796</v>
      </c>
      <c r="P88" t="s">
        <v>65</v>
      </c>
      <c r="Q88" t="s">
        <v>209</v>
      </c>
      <c r="R88" t="b">
        <v>0</v>
      </c>
      <c r="S88" t="s">
        <v>210</v>
      </c>
      <c r="T88" t="s">
        <v>67</v>
      </c>
      <c r="U88" t="s">
        <v>211</v>
      </c>
      <c r="V88">
        <v>13832</v>
      </c>
      <c r="W88" t="b">
        <v>0</v>
      </c>
      <c r="X88">
        <v>0</v>
      </c>
      <c r="Y88" t="s">
        <v>212</v>
      </c>
      <c r="Z88" t="b">
        <v>0</v>
      </c>
      <c r="AA88" t="s">
        <v>213</v>
      </c>
      <c r="AB88">
        <v>170826004896</v>
      </c>
      <c r="AC88" t="s">
        <v>214</v>
      </c>
      <c r="AD88" t="s">
        <v>214</v>
      </c>
      <c r="AE88">
        <v>8</v>
      </c>
      <c r="AF88">
        <v>5</v>
      </c>
      <c r="AG88" t="s">
        <v>91</v>
      </c>
      <c r="AH88" t="s">
        <v>210</v>
      </c>
      <c r="AI88" t="s">
        <v>74</v>
      </c>
      <c r="AJ88" t="s">
        <v>75</v>
      </c>
      <c r="AK88" t="s">
        <v>76</v>
      </c>
      <c r="AL88" t="s">
        <v>215</v>
      </c>
      <c r="AM88" t="s">
        <v>78</v>
      </c>
      <c r="AN88" t="b">
        <v>1</v>
      </c>
      <c r="AO88">
        <v>1028</v>
      </c>
      <c r="AP88" t="s">
        <v>65</v>
      </c>
      <c r="AQ88" t="b">
        <v>1</v>
      </c>
      <c r="AR88">
        <v>0</v>
      </c>
      <c r="AS88">
        <v>0</v>
      </c>
      <c r="AT88">
        <v>0</v>
      </c>
      <c r="AU88">
        <v>0</v>
      </c>
      <c r="AV88">
        <v>0</v>
      </c>
      <c r="AW88" t="b">
        <v>0</v>
      </c>
      <c r="AX88" t="b">
        <v>0</v>
      </c>
      <c r="AY88" t="s">
        <v>79</v>
      </c>
      <c r="AZ88" t="b">
        <v>0</v>
      </c>
      <c r="BA88" t="s">
        <v>216</v>
      </c>
      <c r="BB88" t="s">
        <v>217</v>
      </c>
      <c r="BC88" t="s">
        <v>218</v>
      </c>
      <c r="BD88" t="b">
        <v>0</v>
      </c>
      <c r="BE88">
        <v>1000</v>
      </c>
      <c r="BF88" t="b">
        <v>0</v>
      </c>
    </row>
    <row r="89" spans="1:58" x14ac:dyDescent="0.25">
      <c r="A89">
        <v>3.5</v>
      </c>
      <c r="B89">
        <v>50684</v>
      </c>
      <c r="C89" t="s">
        <v>205</v>
      </c>
      <c r="D89" t="s">
        <v>206</v>
      </c>
      <c r="E89">
        <v>0.90694444444444444</v>
      </c>
      <c r="G89">
        <v>1</v>
      </c>
      <c r="K89" t="b">
        <v>0</v>
      </c>
      <c r="M89">
        <v>124269780</v>
      </c>
      <c r="N89" t="s">
        <v>208</v>
      </c>
      <c r="O89">
        <v>1787573809755</v>
      </c>
      <c r="P89" t="s">
        <v>65</v>
      </c>
      <c r="S89" t="s">
        <v>254</v>
      </c>
      <c r="T89" t="s">
        <v>67</v>
      </c>
      <c r="U89" t="s">
        <v>211</v>
      </c>
      <c r="V89">
        <v>13832</v>
      </c>
      <c r="W89" t="b">
        <v>0</v>
      </c>
      <c r="X89">
        <v>0</v>
      </c>
      <c r="Y89" t="s">
        <v>255</v>
      </c>
      <c r="Z89" t="b">
        <v>1</v>
      </c>
      <c r="AA89" t="s">
        <v>213</v>
      </c>
      <c r="AB89">
        <v>170826030661</v>
      </c>
      <c r="AC89" t="s">
        <v>214</v>
      </c>
      <c r="AD89" t="s">
        <v>214</v>
      </c>
      <c r="AE89">
        <v>11</v>
      </c>
      <c r="AF89">
        <v>9</v>
      </c>
      <c r="AG89" t="s">
        <v>91</v>
      </c>
      <c r="AH89" t="s">
        <v>254</v>
      </c>
      <c r="AI89" t="s">
        <v>74</v>
      </c>
      <c r="AJ89" t="s">
        <v>75</v>
      </c>
      <c r="AK89" t="s">
        <v>76</v>
      </c>
      <c r="AL89" t="s">
        <v>215</v>
      </c>
      <c r="AM89" t="s">
        <v>78</v>
      </c>
      <c r="AN89" t="b">
        <v>1</v>
      </c>
      <c r="AO89">
        <v>1028</v>
      </c>
      <c r="AP89" t="s">
        <v>65</v>
      </c>
      <c r="AQ89" t="b">
        <v>1</v>
      </c>
      <c r="AR89">
        <v>0</v>
      </c>
      <c r="AS89">
        <v>0</v>
      </c>
      <c r="AT89">
        <v>0</v>
      </c>
      <c r="AU89">
        <v>0</v>
      </c>
      <c r="AV89">
        <v>0</v>
      </c>
      <c r="AW89" t="b">
        <v>0</v>
      </c>
      <c r="AX89" t="b">
        <v>0</v>
      </c>
      <c r="AY89" t="s">
        <v>79</v>
      </c>
      <c r="AZ89" t="b">
        <v>0</v>
      </c>
      <c r="BA89" t="s">
        <v>216</v>
      </c>
      <c r="BB89" t="s">
        <v>217</v>
      </c>
      <c r="BC89" t="s">
        <v>218</v>
      </c>
      <c r="BD89" t="b">
        <v>0</v>
      </c>
      <c r="BE89">
        <v>1000</v>
      </c>
      <c r="BF89" t="b">
        <v>0</v>
      </c>
    </row>
    <row r="90" spans="1:58" x14ac:dyDescent="0.25">
      <c r="A90">
        <v>3.6</v>
      </c>
      <c r="B90">
        <v>27553</v>
      </c>
      <c r="C90" t="s">
        <v>256</v>
      </c>
      <c r="D90" t="s">
        <v>257</v>
      </c>
      <c r="E90">
        <v>0.62916666666666665</v>
      </c>
      <c r="G90">
        <v>1</v>
      </c>
      <c r="K90" t="b">
        <v>0</v>
      </c>
      <c r="M90">
        <v>124141072</v>
      </c>
      <c r="N90" t="s">
        <v>258</v>
      </c>
      <c r="O90">
        <v>1787808986220</v>
      </c>
      <c r="P90" t="s">
        <v>65</v>
      </c>
      <c r="S90" t="s">
        <v>259</v>
      </c>
      <c r="T90" t="s">
        <v>67</v>
      </c>
      <c r="U90" t="s">
        <v>87</v>
      </c>
      <c r="V90">
        <v>7519247</v>
      </c>
      <c r="W90" t="b">
        <v>0</v>
      </c>
      <c r="X90">
        <v>0</v>
      </c>
      <c r="Y90" t="s">
        <v>260</v>
      </c>
      <c r="Z90" t="b">
        <v>1</v>
      </c>
      <c r="AA90" t="s">
        <v>261</v>
      </c>
      <c r="AB90">
        <v>270826010600</v>
      </c>
      <c r="AC90" t="s">
        <v>262</v>
      </c>
      <c r="AD90" t="s">
        <v>262</v>
      </c>
      <c r="AE90">
        <v>11</v>
      </c>
      <c r="AF90">
        <v>6</v>
      </c>
      <c r="AG90" t="s">
        <v>91</v>
      </c>
      <c r="AH90" t="s">
        <v>259</v>
      </c>
      <c r="AI90" t="s">
        <v>74</v>
      </c>
      <c r="AJ90" t="s">
        <v>263</v>
      </c>
      <c r="AK90" t="s">
        <v>76</v>
      </c>
      <c r="AL90" t="s">
        <v>264</v>
      </c>
      <c r="AM90" t="s">
        <v>78</v>
      </c>
      <c r="AN90" t="b">
        <v>1</v>
      </c>
      <c r="AO90">
        <v>1019</v>
      </c>
      <c r="AP90" t="s">
        <v>65</v>
      </c>
      <c r="AQ90" t="b">
        <v>0</v>
      </c>
      <c r="AS90">
        <v>2000000</v>
      </c>
      <c r="AU90">
        <v>1000000</v>
      </c>
      <c r="AV90">
        <v>0</v>
      </c>
      <c r="AW90" t="b">
        <v>0</v>
      </c>
      <c r="AX90" t="b">
        <v>0</v>
      </c>
      <c r="AY90" t="s">
        <v>79</v>
      </c>
      <c r="AZ90" t="b">
        <v>0</v>
      </c>
      <c r="BA90" t="s">
        <v>265</v>
      </c>
      <c r="BB90" t="s">
        <v>266</v>
      </c>
      <c r="BC90" t="s">
        <v>82</v>
      </c>
      <c r="BD90" t="b">
        <v>0</v>
      </c>
      <c r="BE90">
        <v>20</v>
      </c>
      <c r="BF90" t="b">
        <v>0</v>
      </c>
    </row>
    <row r="91" spans="1:58" x14ac:dyDescent="0.25">
      <c r="A91">
        <v>3.5</v>
      </c>
      <c r="B91">
        <v>50684</v>
      </c>
      <c r="C91" t="s">
        <v>205</v>
      </c>
      <c r="D91" t="s">
        <v>206</v>
      </c>
      <c r="E91">
        <v>0.90694444444444444</v>
      </c>
      <c r="G91">
        <v>1</v>
      </c>
      <c r="K91" t="b">
        <v>0</v>
      </c>
      <c r="M91">
        <v>124269780</v>
      </c>
      <c r="N91" t="s">
        <v>208</v>
      </c>
      <c r="O91">
        <v>1787573816905</v>
      </c>
      <c r="P91" t="s">
        <v>65</v>
      </c>
      <c r="S91" t="s">
        <v>267</v>
      </c>
      <c r="T91" t="s">
        <v>67</v>
      </c>
      <c r="U91" t="s">
        <v>211</v>
      </c>
      <c r="V91">
        <v>13832</v>
      </c>
      <c r="W91" t="b">
        <v>0</v>
      </c>
      <c r="X91">
        <v>0</v>
      </c>
      <c r="Y91" t="s">
        <v>268</v>
      </c>
      <c r="Z91" t="b">
        <v>1</v>
      </c>
      <c r="AA91" t="s">
        <v>213</v>
      </c>
      <c r="AB91">
        <v>170826030591</v>
      </c>
      <c r="AC91" t="s">
        <v>214</v>
      </c>
      <c r="AD91" t="s">
        <v>214</v>
      </c>
      <c r="AE91">
        <v>9</v>
      </c>
      <c r="AF91">
        <v>7</v>
      </c>
      <c r="AG91" t="s">
        <v>91</v>
      </c>
      <c r="AH91" t="s">
        <v>267</v>
      </c>
      <c r="AI91" t="s">
        <v>74</v>
      </c>
      <c r="AJ91" t="s">
        <v>75</v>
      </c>
      <c r="AK91" t="s">
        <v>76</v>
      </c>
      <c r="AL91" t="s">
        <v>215</v>
      </c>
      <c r="AM91" t="s">
        <v>78</v>
      </c>
      <c r="AN91" t="b">
        <v>1</v>
      </c>
      <c r="AO91">
        <v>1028</v>
      </c>
      <c r="AP91" t="s">
        <v>65</v>
      </c>
      <c r="AQ91" t="b">
        <v>1</v>
      </c>
      <c r="AR91">
        <v>0</v>
      </c>
      <c r="AS91">
        <v>0</v>
      </c>
      <c r="AT91">
        <v>0</v>
      </c>
      <c r="AU91">
        <v>0</v>
      </c>
      <c r="AV91">
        <v>0</v>
      </c>
      <c r="AW91" t="b">
        <v>0</v>
      </c>
      <c r="AX91" t="b">
        <v>0</v>
      </c>
      <c r="AY91" t="s">
        <v>79</v>
      </c>
      <c r="AZ91" t="b">
        <v>0</v>
      </c>
      <c r="BA91" t="s">
        <v>216</v>
      </c>
      <c r="BB91" t="s">
        <v>217</v>
      </c>
      <c r="BC91" t="s">
        <v>218</v>
      </c>
      <c r="BD91" t="b">
        <v>0</v>
      </c>
      <c r="BE91">
        <v>1000</v>
      </c>
      <c r="BF91" t="b">
        <v>0</v>
      </c>
    </row>
    <row r="92" spans="1:58" x14ac:dyDescent="0.25">
      <c r="A92">
        <v>3.8</v>
      </c>
      <c r="B92">
        <v>6281</v>
      </c>
      <c r="C92" t="s">
        <v>176</v>
      </c>
      <c r="D92" t="s">
        <v>177</v>
      </c>
      <c r="E92">
        <v>0.90138888888888891</v>
      </c>
      <c r="F92" t="s">
        <v>178</v>
      </c>
      <c r="G92">
        <v>1</v>
      </c>
      <c r="H92">
        <v>15127</v>
      </c>
      <c r="K92" t="b">
        <v>1</v>
      </c>
      <c r="L92" t="s">
        <v>179</v>
      </c>
      <c r="M92">
        <v>1369478</v>
      </c>
      <c r="N92" t="s">
        <v>180</v>
      </c>
      <c r="O92">
        <v>1766146126000</v>
      </c>
      <c r="P92" t="s">
        <v>65</v>
      </c>
      <c r="S92" t="s">
        <v>181</v>
      </c>
      <c r="T92" t="s">
        <v>67</v>
      </c>
      <c r="U92" t="s">
        <v>68</v>
      </c>
      <c r="V92">
        <v>164080</v>
      </c>
      <c r="W92" t="b">
        <v>0</v>
      </c>
      <c r="X92">
        <v>0</v>
      </c>
      <c r="Y92" t="s">
        <v>182</v>
      </c>
      <c r="Z92" t="b">
        <v>0</v>
      </c>
      <c r="AA92" t="s">
        <v>183</v>
      </c>
      <c r="AB92">
        <v>191225503735</v>
      </c>
      <c r="AC92" t="s">
        <v>184</v>
      </c>
      <c r="AD92" t="s">
        <v>184</v>
      </c>
      <c r="AE92">
        <v>7</v>
      </c>
      <c r="AF92">
        <v>3</v>
      </c>
      <c r="AG92" t="s">
        <v>73</v>
      </c>
      <c r="AH92" t="s">
        <v>181</v>
      </c>
      <c r="AI92" t="s">
        <v>74</v>
      </c>
      <c r="AJ92" t="s">
        <v>75</v>
      </c>
      <c r="AK92" t="s">
        <v>76</v>
      </c>
      <c r="AL92" t="s">
        <v>135</v>
      </c>
      <c r="AM92" t="s">
        <v>78</v>
      </c>
      <c r="AN92" t="b">
        <v>0</v>
      </c>
      <c r="AO92">
        <v>1019</v>
      </c>
      <c r="AP92" t="s">
        <v>65</v>
      </c>
      <c r="AQ92" t="b">
        <v>1</v>
      </c>
      <c r="AR92">
        <v>0</v>
      </c>
      <c r="AS92">
        <v>0</v>
      </c>
      <c r="AT92">
        <v>0</v>
      </c>
      <c r="AU92">
        <v>0</v>
      </c>
      <c r="AV92">
        <v>0</v>
      </c>
      <c r="AW92" t="b">
        <v>0</v>
      </c>
      <c r="AX92" t="b">
        <v>0</v>
      </c>
      <c r="AY92" t="s">
        <v>79</v>
      </c>
      <c r="AZ92" t="b">
        <v>0</v>
      </c>
      <c r="BA92" t="s">
        <v>185</v>
      </c>
      <c r="BB92" t="s">
        <v>186</v>
      </c>
      <c r="BC92" t="s">
        <v>187</v>
      </c>
      <c r="BD92" t="b">
        <v>0</v>
      </c>
      <c r="BF92" t="b">
        <v>0</v>
      </c>
    </row>
    <row r="93" spans="1:58" x14ac:dyDescent="0.25">
      <c r="A93">
        <v>3.4</v>
      </c>
      <c r="B93">
        <v>47884</v>
      </c>
      <c r="C93" t="s">
        <v>83</v>
      </c>
      <c r="D93" t="s">
        <v>84</v>
      </c>
      <c r="E93">
        <v>0.62777777777777777</v>
      </c>
      <c r="G93">
        <v>1</v>
      </c>
      <c r="H93">
        <v>3730</v>
      </c>
      <c r="K93" t="b">
        <v>0</v>
      </c>
      <c r="M93">
        <v>2904476</v>
      </c>
      <c r="N93" t="s">
        <v>85</v>
      </c>
      <c r="O93">
        <v>1787808879920</v>
      </c>
      <c r="P93" t="s">
        <v>65</v>
      </c>
      <c r="S93" t="s">
        <v>86</v>
      </c>
      <c r="T93" t="s">
        <v>67</v>
      </c>
      <c r="U93" t="s">
        <v>87</v>
      </c>
      <c r="V93">
        <v>194354</v>
      </c>
      <c r="W93" t="b">
        <v>0</v>
      </c>
      <c r="X93">
        <v>0</v>
      </c>
      <c r="Y93" t="s">
        <v>88</v>
      </c>
      <c r="Z93" t="b">
        <v>1</v>
      </c>
      <c r="AA93" t="s">
        <v>89</v>
      </c>
      <c r="AB93">
        <v>270826010477</v>
      </c>
      <c r="AC93" t="s">
        <v>90</v>
      </c>
      <c r="AD93" t="s">
        <v>90</v>
      </c>
      <c r="AE93">
        <v>7</v>
      </c>
      <c r="AF93">
        <v>4</v>
      </c>
      <c r="AG93" t="s">
        <v>91</v>
      </c>
      <c r="AH93" t="s">
        <v>86</v>
      </c>
      <c r="AI93" t="s">
        <v>74</v>
      </c>
      <c r="AJ93" t="s">
        <v>75</v>
      </c>
      <c r="AK93" t="s">
        <v>76</v>
      </c>
      <c r="AL93" t="s">
        <v>92</v>
      </c>
      <c r="AM93" t="s">
        <v>78</v>
      </c>
      <c r="AN93" t="b">
        <v>1</v>
      </c>
      <c r="AO93">
        <v>1020</v>
      </c>
      <c r="AP93" t="s">
        <v>65</v>
      </c>
      <c r="AQ93" t="b">
        <v>1</v>
      </c>
      <c r="AR93">
        <v>0</v>
      </c>
      <c r="AS93">
        <v>0</v>
      </c>
      <c r="AT93">
        <v>0</v>
      </c>
      <c r="AU93">
        <v>0</v>
      </c>
      <c r="AV93">
        <v>0</v>
      </c>
      <c r="AW93" t="b">
        <v>0</v>
      </c>
      <c r="AX93" t="b">
        <v>0</v>
      </c>
      <c r="AY93" t="s">
        <v>79</v>
      </c>
      <c r="AZ93" t="b">
        <v>0</v>
      </c>
      <c r="BA93" t="s">
        <v>93</v>
      </c>
      <c r="BB93" t="s">
        <v>94</v>
      </c>
      <c r="BC93" t="s">
        <v>82</v>
      </c>
      <c r="BD93" t="b">
        <v>0</v>
      </c>
      <c r="BF93" t="b">
        <v>0</v>
      </c>
    </row>
    <row r="94" spans="1:58" x14ac:dyDescent="0.25">
      <c r="A94">
        <v>3.3</v>
      </c>
      <c r="B94">
        <v>13397</v>
      </c>
      <c r="C94" t="s">
        <v>95</v>
      </c>
      <c r="D94" t="s">
        <v>96</v>
      </c>
      <c r="E94">
        <v>0.69722222222222219</v>
      </c>
      <c r="G94">
        <v>1</v>
      </c>
      <c r="K94" t="b">
        <v>0</v>
      </c>
      <c r="M94">
        <v>676499</v>
      </c>
      <c r="N94" t="s">
        <v>97</v>
      </c>
      <c r="O94">
        <v>1787728452770</v>
      </c>
      <c r="P94" t="s">
        <v>65</v>
      </c>
      <c r="S94" t="s">
        <v>98</v>
      </c>
      <c r="T94" t="s">
        <v>67</v>
      </c>
      <c r="U94" t="s">
        <v>99</v>
      </c>
      <c r="V94">
        <v>9246</v>
      </c>
      <c r="W94" t="b">
        <v>0</v>
      </c>
      <c r="X94">
        <v>0</v>
      </c>
      <c r="Y94" t="s">
        <v>100</v>
      </c>
      <c r="Z94" t="b">
        <v>1</v>
      </c>
      <c r="AA94" t="s">
        <v>101</v>
      </c>
      <c r="AB94">
        <v>260826016031</v>
      </c>
      <c r="AC94" t="s">
        <v>102</v>
      </c>
      <c r="AD94" t="s">
        <v>102</v>
      </c>
      <c r="AE94">
        <v>8</v>
      </c>
      <c r="AF94">
        <v>4</v>
      </c>
      <c r="AG94" t="s">
        <v>91</v>
      </c>
      <c r="AH94" t="s">
        <v>98</v>
      </c>
      <c r="AI94" t="s">
        <v>74</v>
      </c>
      <c r="AJ94" t="s">
        <v>75</v>
      </c>
      <c r="AK94" t="s">
        <v>76</v>
      </c>
      <c r="AL94" t="s">
        <v>103</v>
      </c>
      <c r="AM94" t="s">
        <v>78</v>
      </c>
      <c r="AN94" t="b">
        <v>1</v>
      </c>
      <c r="AO94">
        <v>1019</v>
      </c>
      <c r="AP94" t="s">
        <v>65</v>
      </c>
      <c r="AQ94" t="b">
        <v>1</v>
      </c>
      <c r="AR94">
        <v>0</v>
      </c>
      <c r="AS94">
        <v>0</v>
      </c>
      <c r="AT94">
        <v>0</v>
      </c>
      <c r="AU94">
        <v>0</v>
      </c>
      <c r="AV94">
        <v>0</v>
      </c>
      <c r="AW94" t="b">
        <v>0</v>
      </c>
      <c r="AX94" t="b">
        <v>0</v>
      </c>
      <c r="AY94" t="s">
        <v>79</v>
      </c>
      <c r="AZ94" t="b">
        <v>0</v>
      </c>
      <c r="BA94" t="s">
        <v>104</v>
      </c>
      <c r="BB94" t="s">
        <v>105</v>
      </c>
      <c r="BC94" t="s">
        <v>82</v>
      </c>
      <c r="BD94" t="b">
        <v>0</v>
      </c>
      <c r="BE94">
        <v>4</v>
      </c>
      <c r="BF94" t="b">
        <v>0</v>
      </c>
    </row>
    <row r="95" spans="1:58" x14ac:dyDescent="0.25">
      <c r="E95">
        <v>0.91874999999999996</v>
      </c>
      <c r="F95" t="s">
        <v>188</v>
      </c>
      <c r="G95">
        <v>1</v>
      </c>
      <c r="K95" t="b">
        <v>1</v>
      </c>
      <c r="L95" t="s">
        <v>189</v>
      </c>
      <c r="M95">
        <v>125076821</v>
      </c>
      <c r="N95" t="s">
        <v>190</v>
      </c>
      <c r="O95">
        <v>1783341207000</v>
      </c>
      <c r="P95" t="s">
        <v>65</v>
      </c>
      <c r="S95" t="s">
        <v>191</v>
      </c>
      <c r="T95" t="s">
        <v>67</v>
      </c>
      <c r="U95" t="s">
        <v>68</v>
      </c>
      <c r="V95">
        <v>7029887</v>
      </c>
      <c r="W95" t="b">
        <v>0</v>
      </c>
      <c r="X95">
        <v>0</v>
      </c>
      <c r="Y95" t="s">
        <v>192</v>
      </c>
      <c r="Z95" t="b">
        <v>0</v>
      </c>
      <c r="AA95" t="s">
        <v>193</v>
      </c>
      <c r="AB95" t="s">
        <v>194</v>
      </c>
      <c r="AC95" t="s">
        <v>195</v>
      </c>
      <c r="AD95" t="s">
        <v>195</v>
      </c>
      <c r="AE95">
        <v>10</v>
      </c>
      <c r="AF95">
        <v>5</v>
      </c>
      <c r="AG95" t="s">
        <v>73</v>
      </c>
      <c r="AH95" t="s">
        <v>191</v>
      </c>
      <c r="AI95" t="s">
        <v>74</v>
      </c>
      <c r="AJ95" t="s">
        <v>75</v>
      </c>
      <c r="AK95" t="s">
        <v>76</v>
      </c>
      <c r="AL95" t="s">
        <v>135</v>
      </c>
      <c r="AM95" t="s">
        <v>78</v>
      </c>
      <c r="AN95" t="b">
        <v>0</v>
      </c>
      <c r="AO95">
        <v>1019</v>
      </c>
      <c r="AP95" t="s">
        <v>65</v>
      </c>
      <c r="AQ95" t="b">
        <v>1</v>
      </c>
      <c r="AR95">
        <v>0</v>
      </c>
      <c r="AS95">
        <v>0</v>
      </c>
      <c r="AT95">
        <v>0</v>
      </c>
      <c r="AU95">
        <v>0</v>
      </c>
      <c r="AV95">
        <v>0</v>
      </c>
      <c r="AW95" t="b">
        <v>0</v>
      </c>
      <c r="AX95" t="b">
        <v>0</v>
      </c>
      <c r="AY95" t="s">
        <v>79</v>
      </c>
      <c r="AZ95" t="b">
        <v>0</v>
      </c>
      <c r="BA95" t="s">
        <v>196</v>
      </c>
      <c r="BB95" t="s">
        <v>197</v>
      </c>
      <c r="BC95" t="s">
        <v>198</v>
      </c>
      <c r="BD95" t="b">
        <v>0</v>
      </c>
      <c r="BF95" t="b">
        <v>0</v>
      </c>
    </row>
    <row r="96" spans="1:58" x14ac:dyDescent="0.25">
      <c r="A96">
        <v>3.9</v>
      </c>
      <c r="B96">
        <v>26716</v>
      </c>
      <c r="C96" t="s">
        <v>126</v>
      </c>
      <c r="D96" t="s">
        <v>127</v>
      </c>
      <c r="E96">
        <v>0.74861111111111112</v>
      </c>
      <c r="F96" t="s">
        <v>128</v>
      </c>
      <c r="G96">
        <v>1</v>
      </c>
      <c r="H96">
        <v>10201</v>
      </c>
      <c r="K96" t="b">
        <v>1</v>
      </c>
      <c r="L96" t="s">
        <v>129</v>
      </c>
      <c r="M96">
        <v>16987</v>
      </c>
      <c r="N96" t="s">
        <v>130</v>
      </c>
      <c r="O96">
        <v>1787819294543</v>
      </c>
      <c r="P96" t="s">
        <v>65</v>
      </c>
      <c r="S96" t="s">
        <v>131</v>
      </c>
      <c r="T96" t="s">
        <v>67</v>
      </c>
      <c r="U96" t="s">
        <v>87</v>
      </c>
      <c r="V96">
        <v>19288</v>
      </c>
      <c r="W96" t="b">
        <v>0</v>
      </c>
      <c r="X96">
        <v>0</v>
      </c>
      <c r="Y96" t="s">
        <v>132</v>
      </c>
      <c r="Z96" t="b">
        <v>0</v>
      </c>
      <c r="AA96" t="s">
        <v>133</v>
      </c>
      <c r="AB96">
        <v>270826917532</v>
      </c>
      <c r="AC96" t="s">
        <v>134</v>
      </c>
      <c r="AD96" t="s">
        <v>134</v>
      </c>
      <c r="AE96">
        <v>8</v>
      </c>
      <c r="AF96">
        <v>6</v>
      </c>
      <c r="AG96" t="s">
        <v>91</v>
      </c>
      <c r="AH96" t="s">
        <v>131</v>
      </c>
      <c r="AI96" t="s">
        <v>74</v>
      </c>
      <c r="AJ96" t="s">
        <v>75</v>
      </c>
      <c r="AK96" t="s">
        <v>76</v>
      </c>
      <c r="AL96" t="s">
        <v>135</v>
      </c>
      <c r="AM96" t="s">
        <v>78</v>
      </c>
      <c r="AN96" t="b">
        <v>0</v>
      </c>
      <c r="AO96">
        <v>1019</v>
      </c>
      <c r="AP96" t="s">
        <v>65</v>
      </c>
      <c r="AQ96" t="b">
        <v>1</v>
      </c>
      <c r="AR96">
        <v>0</v>
      </c>
      <c r="AS96">
        <v>0</v>
      </c>
      <c r="AT96">
        <v>0</v>
      </c>
      <c r="AU96">
        <v>0</v>
      </c>
      <c r="AV96">
        <v>0</v>
      </c>
      <c r="AW96" t="b">
        <v>0</v>
      </c>
      <c r="AX96" t="b">
        <v>0</v>
      </c>
      <c r="AY96" t="s">
        <v>79</v>
      </c>
      <c r="AZ96" t="b">
        <v>0</v>
      </c>
      <c r="BA96" t="s">
        <v>136</v>
      </c>
      <c r="BB96" t="s">
        <v>137</v>
      </c>
      <c r="BC96" t="s">
        <v>138</v>
      </c>
      <c r="BD96" t="b">
        <v>0</v>
      </c>
      <c r="BF96" t="b">
        <v>0</v>
      </c>
    </row>
    <row r="97" spans="1:58" x14ac:dyDescent="0.25">
      <c r="A97">
        <v>3.9</v>
      </c>
      <c r="B97">
        <v>26716</v>
      </c>
      <c r="C97" t="s">
        <v>126</v>
      </c>
      <c r="D97" t="s">
        <v>127</v>
      </c>
      <c r="E97">
        <v>0.5805555555555556</v>
      </c>
      <c r="F97" t="s">
        <v>139</v>
      </c>
      <c r="G97">
        <v>1</v>
      </c>
      <c r="H97">
        <v>10201</v>
      </c>
      <c r="K97" t="b">
        <v>1</v>
      </c>
      <c r="L97" t="s">
        <v>140</v>
      </c>
      <c r="M97">
        <v>16987</v>
      </c>
      <c r="N97" t="s">
        <v>130</v>
      </c>
      <c r="O97">
        <v>1787718372586</v>
      </c>
      <c r="P97" t="s">
        <v>65</v>
      </c>
      <c r="S97" t="s">
        <v>118</v>
      </c>
      <c r="T97" t="s">
        <v>67</v>
      </c>
      <c r="U97" t="s">
        <v>99</v>
      </c>
      <c r="V97">
        <v>19288</v>
      </c>
      <c r="W97" t="b">
        <v>0</v>
      </c>
      <c r="X97">
        <v>0</v>
      </c>
      <c r="Y97" t="s">
        <v>141</v>
      </c>
      <c r="Z97" t="b">
        <v>0</v>
      </c>
      <c r="AA97" t="s">
        <v>142</v>
      </c>
      <c r="AB97">
        <v>260826909019</v>
      </c>
      <c r="AC97" t="s">
        <v>134</v>
      </c>
      <c r="AD97" t="s">
        <v>134</v>
      </c>
      <c r="AE97">
        <v>10</v>
      </c>
      <c r="AF97">
        <v>8</v>
      </c>
      <c r="AG97" t="s">
        <v>91</v>
      </c>
      <c r="AH97" t="s">
        <v>118</v>
      </c>
      <c r="AI97" t="s">
        <v>74</v>
      </c>
      <c r="AJ97" t="s">
        <v>75</v>
      </c>
      <c r="AK97" t="s">
        <v>76</v>
      </c>
      <c r="AL97" t="s">
        <v>135</v>
      </c>
      <c r="AM97" t="s">
        <v>78</v>
      </c>
      <c r="AN97" t="b">
        <v>0</v>
      </c>
      <c r="AO97">
        <v>1019</v>
      </c>
      <c r="AP97" t="s">
        <v>65</v>
      </c>
      <c r="AQ97" t="b">
        <v>1</v>
      </c>
      <c r="AR97">
        <v>0</v>
      </c>
      <c r="AS97">
        <v>0</v>
      </c>
      <c r="AT97">
        <v>0</v>
      </c>
      <c r="AU97">
        <v>0</v>
      </c>
      <c r="AV97">
        <v>0</v>
      </c>
      <c r="AW97" t="b">
        <v>0</v>
      </c>
      <c r="AX97" t="b">
        <v>0</v>
      </c>
      <c r="AY97" t="s">
        <v>79</v>
      </c>
      <c r="AZ97" t="b">
        <v>0</v>
      </c>
      <c r="BA97" t="s">
        <v>136</v>
      </c>
      <c r="BB97" t="s">
        <v>143</v>
      </c>
      <c r="BC97" t="s">
        <v>138</v>
      </c>
      <c r="BD97" t="b">
        <v>0</v>
      </c>
      <c r="BF97" t="b">
        <v>0</v>
      </c>
    </row>
    <row r="98" spans="1:58" x14ac:dyDescent="0.25">
      <c r="A98">
        <v>3.9</v>
      </c>
      <c r="B98">
        <v>26716</v>
      </c>
      <c r="C98" t="s">
        <v>126</v>
      </c>
      <c r="D98" t="s">
        <v>127</v>
      </c>
      <c r="E98">
        <v>0.79583333333333328</v>
      </c>
      <c r="F98" t="s">
        <v>199</v>
      </c>
      <c r="G98">
        <v>1</v>
      </c>
      <c r="H98">
        <v>10201</v>
      </c>
      <c r="K98" t="b">
        <v>1</v>
      </c>
      <c r="L98" t="s">
        <v>200</v>
      </c>
      <c r="M98">
        <v>16987</v>
      </c>
      <c r="N98" t="s">
        <v>130</v>
      </c>
      <c r="O98">
        <v>1787218594529</v>
      </c>
      <c r="P98" t="s">
        <v>65</v>
      </c>
      <c r="S98" t="s">
        <v>191</v>
      </c>
      <c r="T98" t="s">
        <v>67</v>
      </c>
      <c r="U98" t="s">
        <v>201</v>
      </c>
      <c r="V98">
        <v>19288</v>
      </c>
      <c r="W98" t="b">
        <v>0</v>
      </c>
      <c r="X98">
        <v>0</v>
      </c>
      <c r="Y98" t="s">
        <v>202</v>
      </c>
      <c r="Z98" t="b">
        <v>0</v>
      </c>
      <c r="AA98" t="s">
        <v>203</v>
      </c>
      <c r="AB98">
        <v>200826923685</v>
      </c>
      <c r="AC98" t="s">
        <v>134</v>
      </c>
      <c r="AD98" t="s">
        <v>134</v>
      </c>
      <c r="AE98">
        <v>10</v>
      </c>
      <c r="AF98">
        <v>5</v>
      </c>
      <c r="AG98" t="s">
        <v>91</v>
      </c>
      <c r="AH98" t="s">
        <v>191</v>
      </c>
      <c r="AI98" t="s">
        <v>74</v>
      </c>
      <c r="AJ98" t="s">
        <v>75</v>
      </c>
      <c r="AK98" t="s">
        <v>76</v>
      </c>
      <c r="AL98" t="s">
        <v>135</v>
      </c>
      <c r="AM98" t="s">
        <v>78</v>
      </c>
      <c r="AN98" t="b">
        <v>0</v>
      </c>
      <c r="AO98">
        <v>1019</v>
      </c>
      <c r="AP98" t="s">
        <v>65</v>
      </c>
      <c r="AQ98" t="b">
        <v>1</v>
      </c>
      <c r="AR98">
        <v>0</v>
      </c>
      <c r="AS98">
        <v>0</v>
      </c>
      <c r="AT98">
        <v>0</v>
      </c>
      <c r="AU98">
        <v>0</v>
      </c>
      <c r="AV98">
        <v>0</v>
      </c>
      <c r="AW98" t="b">
        <v>0</v>
      </c>
      <c r="AX98" t="b">
        <v>0</v>
      </c>
      <c r="AY98" t="s">
        <v>79</v>
      </c>
      <c r="AZ98" t="b">
        <v>0</v>
      </c>
      <c r="BA98" t="s">
        <v>136</v>
      </c>
      <c r="BB98" t="s">
        <v>204</v>
      </c>
      <c r="BC98" t="s">
        <v>138</v>
      </c>
      <c r="BD98" t="b">
        <v>0</v>
      </c>
      <c r="BF98" t="b">
        <v>0</v>
      </c>
    </row>
    <row r="99" spans="1:58" x14ac:dyDescent="0.25">
      <c r="A99">
        <v>3.2</v>
      </c>
      <c r="B99">
        <v>118481</v>
      </c>
      <c r="C99" t="s">
        <v>144</v>
      </c>
      <c r="D99" t="s">
        <v>145</v>
      </c>
      <c r="E99">
        <v>0.8208333333333333</v>
      </c>
      <c r="G99">
        <v>1</v>
      </c>
      <c r="H99">
        <v>2949</v>
      </c>
      <c r="K99" t="b">
        <v>0</v>
      </c>
      <c r="M99">
        <v>892542</v>
      </c>
      <c r="N99" t="s">
        <v>146</v>
      </c>
      <c r="O99">
        <v>1787911934859</v>
      </c>
      <c r="P99" t="s">
        <v>65</v>
      </c>
      <c r="S99" t="s">
        <v>147</v>
      </c>
      <c r="T99" t="s">
        <v>67</v>
      </c>
      <c r="U99" t="s">
        <v>119</v>
      </c>
      <c r="V99">
        <v>223346</v>
      </c>
      <c r="W99" t="b">
        <v>0</v>
      </c>
      <c r="X99">
        <v>0</v>
      </c>
      <c r="Y99" t="s">
        <v>148</v>
      </c>
      <c r="Z99" t="b">
        <v>1</v>
      </c>
      <c r="AA99" t="s">
        <v>149</v>
      </c>
      <c r="AB99">
        <v>280826008430</v>
      </c>
      <c r="AC99" t="s">
        <v>150</v>
      </c>
      <c r="AD99" t="s">
        <v>150</v>
      </c>
      <c r="AE99">
        <v>10</v>
      </c>
      <c r="AF99">
        <v>6</v>
      </c>
      <c r="AG99" t="s">
        <v>91</v>
      </c>
      <c r="AH99" t="s">
        <v>147</v>
      </c>
      <c r="AI99" t="s">
        <v>74</v>
      </c>
      <c r="AJ99" t="s">
        <v>75</v>
      </c>
      <c r="AK99" t="s">
        <v>76</v>
      </c>
      <c r="AL99" t="s">
        <v>151</v>
      </c>
      <c r="AM99" t="s">
        <v>78</v>
      </c>
      <c r="AN99" t="b">
        <v>0</v>
      </c>
      <c r="AO99">
        <v>1019</v>
      </c>
      <c r="AP99" t="s">
        <v>65</v>
      </c>
      <c r="AQ99" t="b">
        <v>1</v>
      </c>
      <c r="AR99">
        <v>0</v>
      </c>
      <c r="AS99">
        <v>0</v>
      </c>
      <c r="AT99">
        <v>0</v>
      </c>
      <c r="AU99">
        <v>0</v>
      </c>
      <c r="AV99">
        <v>0</v>
      </c>
      <c r="AW99" t="b">
        <v>0</v>
      </c>
      <c r="AX99" t="b">
        <v>0</v>
      </c>
      <c r="AY99" t="s">
        <v>79</v>
      </c>
      <c r="AZ99" t="b">
        <v>0</v>
      </c>
      <c r="BA99" t="s">
        <v>152</v>
      </c>
      <c r="BB99" t="s">
        <v>153</v>
      </c>
      <c r="BC99" t="s">
        <v>82</v>
      </c>
      <c r="BD99" t="b">
        <v>0</v>
      </c>
      <c r="BF99" t="b">
        <v>0</v>
      </c>
    </row>
    <row r="100" spans="1:58" x14ac:dyDescent="0.25">
      <c r="A100">
        <v>3.7</v>
      </c>
      <c r="B100">
        <v>6800</v>
      </c>
      <c r="C100" t="s">
        <v>165</v>
      </c>
      <c r="D100" t="s">
        <v>166</v>
      </c>
      <c r="E100">
        <v>0.92569444444444449</v>
      </c>
      <c r="G100">
        <v>1</v>
      </c>
      <c r="H100">
        <v>2639</v>
      </c>
      <c r="K100" t="b">
        <v>0</v>
      </c>
      <c r="M100">
        <v>19934</v>
      </c>
      <c r="N100" t="s">
        <v>167</v>
      </c>
      <c r="O100">
        <v>1787316218988</v>
      </c>
      <c r="P100" t="s">
        <v>65</v>
      </c>
      <c r="S100" t="s">
        <v>168</v>
      </c>
      <c r="T100" t="s">
        <v>67</v>
      </c>
      <c r="U100" t="s">
        <v>169</v>
      </c>
      <c r="V100">
        <v>21746</v>
      </c>
      <c r="W100" t="b">
        <v>0</v>
      </c>
      <c r="X100">
        <v>0</v>
      </c>
      <c r="Y100" t="s">
        <v>170</v>
      </c>
      <c r="Z100" t="b">
        <v>1</v>
      </c>
      <c r="AA100" t="s">
        <v>171</v>
      </c>
      <c r="AB100">
        <v>210826932923</v>
      </c>
      <c r="AC100" t="s">
        <v>172</v>
      </c>
      <c r="AD100" t="s">
        <v>172</v>
      </c>
      <c r="AE100">
        <v>13</v>
      </c>
      <c r="AF100">
        <v>8</v>
      </c>
      <c r="AG100" t="s">
        <v>91</v>
      </c>
      <c r="AH100" t="s">
        <v>168</v>
      </c>
      <c r="AI100" t="s">
        <v>74</v>
      </c>
      <c r="AJ100" t="s">
        <v>75</v>
      </c>
      <c r="AK100" t="s">
        <v>76</v>
      </c>
      <c r="AL100" t="s">
        <v>135</v>
      </c>
      <c r="AM100" t="s">
        <v>78</v>
      </c>
      <c r="AN100" t="b">
        <v>0</v>
      </c>
      <c r="AO100">
        <v>1028</v>
      </c>
      <c r="AP100" t="s">
        <v>65</v>
      </c>
      <c r="AQ100" t="b">
        <v>1</v>
      </c>
      <c r="AR100">
        <v>0</v>
      </c>
      <c r="AS100">
        <v>0</v>
      </c>
      <c r="AT100">
        <v>0</v>
      </c>
      <c r="AU100">
        <v>0</v>
      </c>
      <c r="AV100">
        <v>0</v>
      </c>
      <c r="AW100" t="b">
        <v>0</v>
      </c>
      <c r="AX100" t="b">
        <v>0</v>
      </c>
      <c r="AY100" t="s">
        <v>79</v>
      </c>
      <c r="AZ100" t="b">
        <v>0</v>
      </c>
      <c r="BA100" t="s">
        <v>173</v>
      </c>
      <c r="BB100" t="s">
        <v>174</v>
      </c>
      <c r="BC100" t="s">
        <v>175</v>
      </c>
      <c r="BD100" t="b">
        <v>0</v>
      </c>
      <c r="BF100" t="b">
        <v>0</v>
      </c>
    </row>
    <row r="101" spans="1:58" x14ac:dyDescent="0.25">
      <c r="A101">
        <v>3.5</v>
      </c>
      <c r="B101">
        <v>50684</v>
      </c>
      <c r="C101" t="s">
        <v>205</v>
      </c>
      <c r="D101" t="s">
        <v>206</v>
      </c>
      <c r="E101">
        <v>0.90694444444444444</v>
      </c>
      <c r="G101">
        <v>1</v>
      </c>
      <c r="I101">
        <v>1</v>
      </c>
      <c r="J101" t="s">
        <v>207</v>
      </c>
      <c r="K101" t="b">
        <v>0</v>
      </c>
      <c r="M101">
        <v>124269780</v>
      </c>
      <c r="N101" t="s">
        <v>208</v>
      </c>
      <c r="O101">
        <v>1787573805796</v>
      </c>
      <c r="P101" t="s">
        <v>65</v>
      </c>
      <c r="Q101" t="s">
        <v>209</v>
      </c>
      <c r="R101" t="b">
        <v>0</v>
      </c>
      <c r="S101" t="s">
        <v>210</v>
      </c>
      <c r="T101" t="s">
        <v>67</v>
      </c>
      <c r="U101" t="s">
        <v>211</v>
      </c>
      <c r="V101">
        <v>13832</v>
      </c>
      <c r="W101" t="b">
        <v>0</v>
      </c>
      <c r="X101">
        <v>0</v>
      </c>
      <c r="Y101" t="s">
        <v>212</v>
      </c>
      <c r="Z101" t="b">
        <v>0</v>
      </c>
      <c r="AA101" t="s">
        <v>213</v>
      </c>
      <c r="AB101">
        <v>170826004896</v>
      </c>
      <c r="AC101" t="s">
        <v>214</v>
      </c>
      <c r="AD101" t="s">
        <v>214</v>
      </c>
      <c r="AE101">
        <v>8</v>
      </c>
      <c r="AF101">
        <v>5</v>
      </c>
      <c r="AG101" t="s">
        <v>91</v>
      </c>
      <c r="AH101" t="s">
        <v>210</v>
      </c>
      <c r="AI101" t="s">
        <v>74</v>
      </c>
      <c r="AJ101" t="s">
        <v>75</v>
      </c>
      <c r="AK101" t="s">
        <v>76</v>
      </c>
      <c r="AL101" t="s">
        <v>215</v>
      </c>
      <c r="AM101" t="s">
        <v>78</v>
      </c>
      <c r="AN101" t="b">
        <v>1</v>
      </c>
      <c r="AO101">
        <v>1028</v>
      </c>
      <c r="AP101" t="s">
        <v>65</v>
      </c>
      <c r="AQ101" t="b">
        <v>1</v>
      </c>
      <c r="AR101">
        <v>0</v>
      </c>
      <c r="AS101">
        <v>0</v>
      </c>
      <c r="AT101">
        <v>0</v>
      </c>
      <c r="AU101">
        <v>0</v>
      </c>
      <c r="AV101">
        <v>0</v>
      </c>
      <c r="AW101" t="b">
        <v>0</v>
      </c>
      <c r="AX101" t="b">
        <v>0</v>
      </c>
      <c r="AY101" t="s">
        <v>79</v>
      </c>
      <c r="AZ101" t="b">
        <v>0</v>
      </c>
      <c r="BA101" t="s">
        <v>216</v>
      </c>
      <c r="BB101" t="s">
        <v>217</v>
      </c>
      <c r="BC101" t="s">
        <v>218</v>
      </c>
      <c r="BD101" t="b">
        <v>0</v>
      </c>
      <c r="BE101">
        <v>1000</v>
      </c>
      <c r="BF101" t="b">
        <v>0</v>
      </c>
    </row>
    <row r="102" spans="1:58" x14ac:dyDescent="0.25">
      <c r="A102">
        <v>3.8</v>
      </c>
      <c r="B102">
        <v>6281</v>
      </c>
      <c r="C102" t="s">
        <v>176</v>
      </c>
      <c r="D102" t="s">
        <v>177</v>
      </c>
      <c r="E102">
        <v>0.90138888888888891</v>
      </c>
      <c r="F102" t="s">
        <v>178</v>
      </c>
      <c r="G102">
        <v>1</v>
      </c>
      <c r="H102">
        <v>15127</v>
      </c>
      <c r="K102" t="b">
        <v>1</v>
      </c>
      <c r="L102" t="s">
        <v>179</v>
      </c>
      <c r="M102">
        <v>1369478</v>
      </c>
      <c r="N102" t="s">
        <v>180</v>
      </c>
      <c r="O102">
        <v>1766146126000</v>
      </c>
      <c r="P102" t="s">
        <v>65</v>
      </c>
      <c r="S102" t="s">
        <v>181</v>
      </c>
      <c r="T102" t="s">
        <v>67</v>
      </c>
      <c r="U102" t="s">
        <v>68</v>
      </c>
      <c r="V102">
        <v>164080</v>
      </c>
      <c r="W102" t="b">
        <v>0</v>
      </c>
      <c r="X102">
        <v>0</v>
      </c>
      <c r="Y102" t="s">
        <v>182</v>
      </c>
      <c r="Z102" t="b">
        <v>0</v>
      </c>
      <c r="AA102" t="s">
        <v>183</v>
      </c>
      <c r="AB102">
        <v>191225503735</v>
      </c>
      <c r="AC102" t="s">
        <v>184</v>
      </c>
      <c r="AD102" t="s">
        <v>184</v>
      </c>
      <c r="AE102">
        <v>7</v>
      </c>
      <c r="AF102">
        <v>3</v>
      </c>
      <c r="AG102" t="s">
        <v>73</v>
      </c>
      <c r="AH102" t="s">
        <v>181</v>
      </c>
      <c r="AI102" t="s">
        <v>74</v>
      </c>
      <c r="AJ102" t="s">
        <v>75</v>
      </c>
      <c r="AK102" t="s">
        <v>76</v>
      </c>
      <c r="AL102" t="s">
        <v>135</v>
      </c>
      <c r="AM102" t="s">
        <v>78</v>
      </c>
      <c r="AN102" t="b">
        <v>0</v>
      </c>
      <c r="AO102">
        <v>1019</v>
      </c>
      <c r="AP102" t="s">
        <v>65</v>
      </c>
      <c r="AQ102" t="b">
        <v>1</v>
      </c>
      <c r="AR102">
        <v>0</v>
      </c>
      <c r="AS102">
        <v>0</v>
      </c>
      <c r="AT102">
        <v>0</v>
      </c>
      <c r="AU102">
        <v>0</v>
      </c>
      <c r="AV102">
        <v>0</v>
      </c>
      <c r="AW102" t="b">
        <v>0</v>
      </c>
      <c r="AX102" t="b">
        <v>0</v>
      </c>
      <c r="AY102" t="s">
        <v>79</v>
      </c>
      <c r="AZ102" t="b">
        <v>0</v>
      </c>
      <c r="BA102" t="s">
        <v>185</v>
      </c>
      <c r="BB102" t="s">
        <v>186</v>
      </c>
      <c r="BC102" t="s">
        <v>187</v>
      </c>
      <c r="BD102" t="b">
        <v>0</v>
      </c>
      <c r="BF102" t="b">
        <v>0</v>
      </c>
    </row>
    <row r="103" spans="1:58" x14ac:dyDescent="0.25">
      <c r="A103">
        <v>3.4</v>
      </c>
      <c r="B103">
        <v>47884</v>
      </c>
      <c r="C103" t="s">
        <v>83</v>
      </c>
      <c r="D103" t="s">
        <v>84</v>
      </c>
      <c r="E103">
        <v>0.62777777777777777</v>
      </c>
      <c r="G103">
        <v>1</v>
      </c>
      <c r="H103">
        <v>3730</v>
      </c>
      <c r="K103" t="b">
        <v>0</v>
      </c>
      <c r="M103">
        <v>2904476</v>
      </c>
      <c r="N103" t="s">
        <v>85</v>
      </c>
      <c r="O103">
        <v>1787808879920</v>
      </c>
      <c r="P103" t="s">
        <v>65</v>
      </c>
      <c r="S103" t="s">
        <v>86</v>
      </c>
      <c r="T103" t="s">
        <v>67</v>
      </c>
      <c r="U103" t="s">
        <v>87</v>
      </c>
      <c r="V103">
        <v>194354</v>
      </c>
      <c r="W103" t="b">
        <v>0</v>
      </c>
      <c r="X103">
        <v>0</v>
      </c>
      <c r="Y103" t="s">
        <v>88</v>
      </c>
      <c r="Z103" t="b">
        <v>1</v>
      </c>
      <c r="AA103" t="s">
        <v>89</v>
      </c>
      <c r="AB103">
        <v>270826010477</v>
      </c>
      <c r="AC103" t="s">
        <v>90</v>
      </c>
      <c r="AD103" t="s">
        <v>90</v>
      </c>
      <c r="AE103">
        <v>7</v>
      </c>
      <c r="AF103">
        <v>4</v>
      </c>
      <c r="AG103" t="s">
        <v>91</v>
      </c>
      <c r="AH103" t="s">
        <v>86</v>
      </c>
      <c r="AI103" t="s">
        <v>74</v>
      </c>
      <c r="AJ103" t="s">
        <v>75</v>
      </c>
      <c r="AK103" t="s">
        <v>76</v>
      </c>
      <c r="AL103" t="s">
        <v>92</v>
      </c>
      <c r="AM103" t="s">
        <v>78</v>
      </c>
      <c r="AN103" t="b">
        <v>1</v>
      </c>
      <c r="AO103">
        <v>1020</v>
      </c>
      <c r="AP103" t="s">
        <v>65</v>
      </c>
      <c r="AQ103" t="b">
        <v>1</v>
      </c>
      <c r="AR103">
        <v>0</v>
      </c>
      <c r="AS103">
        <v>0</v>
      </c>
      <c r="AT103">
        <v>0</v>
      </c>
      <c r="AU103">
        <v>0</v>
      </c>
      <c r="AV103">
        <v>0</v>
      </c>
      <c r="AW103" t="b">
        <v>0</v>
      </c>
      <c r="AX103" t="b">
        <v>0</v>
      </c>
      <c r="AY103" t="s">
        <v>79</v>
      </c>
      <c r="AZ103" t="b">
        <v>0</v>
      </c>
      <c r="BA103" t="s">
        <v>93</v>
      </c>
      <c r="BB103" t="s">
        <v>94</v>
      </c>
      <c r="BC103" t="s">
        <v>82</v>
      </c>
      <c r="BD103" t="b">
        <v>0</v>
      </c>
      <c r="BF103" t="b">
        <v>0</v>
      </c>
    </row>
    <row r="104" spans="1:58" x14ac:dyDescent="0.25">
      <c r="A104">
        <v>3.3</v>
      </c>
      <c r="B104">
        <v>13397</v>
      </c>
      <c r="C104" t="s">
        <v>95</v>
      </c>
      <c r="D104" t="s">
        <v>96</v>
      </c>
      <c r="E104">
        <v>0.69722222222222219</v>
      </c>
      <c r="G104">
        <v>1</v>
      </c>
      <c r="K104" t="b">
        <v>0</v>
      </c>
      <c r="M104">
        <v>676499</v>
      </c>
      <c r="N104" t="s">
        <v>97</v>
      </c>
      <c r="O104">
        <v>1787728452770</v>
      </c>
      <c r="P104" t="s">
        <v>65</v>
      </c>
      <c r="S104" t="s">
        <v>98</v>
      </c>
      <c r="T104" t="s">
        <v>67</v>
      </c>
      <c r="U104" t="s">
        <v>99</v>
      </c>
      <c r="V104">
        <v>9246</v>
      </c>
      <c r="W104" t="b">
        <v>0</v>
      </c>
      <c r="X104">
        <v>0</v>
      </c>
      <c r="Y104" t="s">
        <v>100</v>
      </c>
      <c r="Z104" t="b">
        <v>1</v>
      </c>
      <c r="AA104" t="s">
        <v>101</v>
      </c>
      <c r="AB104">
        <v>260826016031</v>
      </c>
      <c r="AC104" t="s">
        <v>102</v>
      </c>
      <c r="AD104" t="s">
        <v>102</v>
      </c>
      <c r="AE104">
        <v>8</v>
      </c>
      <c r="AF104">
        <v>4</v>
      </c>
      <c r="AG104" t="s">
        <v>91</v>
      </c>
      <c r="AH104" t="s">
        <v>98</v>
      </c>
      <c r="AI104" t="s">
        <v>74</v>
      </c>
      <c r="AJ104" t="s">
        <v>75</v>
      </c>
      <c r="AK104" t="s">
        <v>76</v>
      </c>
      <c r="AL104" t="s">
        <v>103</v>
      </c>
      <c r="AM104" t="s">
        <v>78</v>
      </c>
      <c r="AN104" t="b">
        <v>1</v>
      </c>
      <c r="AO104">
        <v>1019</v>
      </c>
      <c r="AP104" t="s">
        <v>65</v>
      </c>
      <c r="AQ104" t="b">
        <v>1</v>
      </c>
      <c r="AR104">
        <v>0</v>
      </c>
      <c r="AS104">
        <v>0</v>
      </c>
      <c r="AT104">
        <v>0</v>
      </c>
      <c r="AU104">
        <v>0</v>
      </c>
      <c r="AV104">
        <v>0</v>
      </c>
      <c r="AW104" t="b">
        <v>0</v>
      </c>
      <c r="AX104" t="b">
        <v>0</v>
      </c>
      <c r="AY104" t="s">
        <v>79</v>
      </c>
      <c r="AZ104" t="b">
        <v>0</v>
      </c>
      <c r="BA104" t="s">
        <v>104</v>
      </c>
      <c r="BB104" t="s">
        <v>105</v>
      </c>
      <c r="BC104" t="s">
        <v>82</v>
      </c>
      <c r="BD104" t="b">
        <v>0</v>
      </c>
      <c r="BE104">
        <v>4</v>
      </c>
      <c r="BF104" t="b">
        <v>0</v>
      </c>
    </row>
    <row r="105" spans="1:58" x14ac:dyDescent="0.25">
      <c r="E105">
        <v>0.91874999999999996</v>
      </c>
      <c r="F105" t="s">
        <v>188</v>
      </c>
      <c r="G105">
        <v>1</v>
      </c>
      <c r="K105" t="b">
        <v>1</v>
      </c>
      <c r="L105" t="s">
        <v>189</v>
      </c>
      <c r="M105">
        <v>125076821</v>
      </c>
      <c r="N105" t="s">
        <v>190</v>
      </c>
      <c r="O105">
        <v>1783341207000</v>
      </c>
      <c r="P105" t="s">
        <v>65</v>
      </c>
      <c r="S105" t="s">
        <v>191</v>
      </c>
      <c r="T105" t="s">
        <v>67</v>
      </c>
      <c r="U105" t="s">
        <v>68</v>
      </c>
      <c r="V105">
        <v>7029887</v>
      </c>
      <c r="W105" t="b">
        <v>0</v>
      </c>
      <c r="X105">
        <v>0</v>
      </c>
      <c r="Y105" t="s">
        <v>192</v>
      </c>
      <c r="Z105" t="b">
        <v>0</v>
      </c>
      <c r="AA105" t="s">
        <v>193</v>
      </c>
      <c r="AB105" t="s">
        <v>194</v>
      </c>
      <c r="AC105" t="s">
        <v>195</v>
      </c>
      <c r="AD105" t="s">
        <v>195</v>
      </c>
      <c r="AE105">
        <v>10</v>
      </c>
      <c r="AF105">
        <v>5</v>
      </c>
      <c r="AG105" t="s">
        <v>73</v>
      </c>
      <c r="AH105" t="s">
        <v>191</v>
      </c>
      <c r="AI105" t="s">
        <v>74</v>
      </c>
      <c r="AJ105" t="s">
        <v>75</v>
      </c>
      <c r="AK105" t="s">
        <v>76</v>
      </c>
      <c r="AL105" t="s">
        <v>135</v>
      </c>
      <c r="AM105" t="s">
        <v>78</v>
      </c>
      <c r="AN105" t="b">
        <v>0</v>
      </c>
      <c r="AO105">
        <v>1019</v>
      </c>
      <c r="AP105" t="s">
        <v>65</v>
      </c>
      <c r="AQ105" t="b">
        <v>1</v>
      </c>
      <c r="AR105">
        <v>0</v>
      </c>
      <c r="AS105">
        <v>0</v>
      </c>
      <c r="AT105">
        <v>0</v>
      </c>
      <c r="AU105">
        <v>0</v>
      </c>
      <c r="AV105">
        <v>0</v>
      </c>
      <c r="AW105" t="b">
        <v>0</v>
      </c>
      <c r="AX105" t="b">
        <v>0</v>
      </c>
      <c r="AY105" t="s">
        <v>79</v>
      </c>
      <c r="AZ105" t="b">
        <v>0</v>
      </c>
      <c r="BA105" t="s">
        <v>196</v>
      </c>
      <c r="BB105" t="s">
        <v>197</v>
      </c>
      <c r="BC105" t="s">
        <v>198</v>
      </c>
      <c r="BD105" t="b">
        <v>0</v>
      </c>
      <c r="BF105" t="b">
        <v>0</v>
      </c>
    </row>
    <row r="106" spans="1:58" x14ac:dyDescent="0.25">
      <c r="A106">
        <v>3.9</v>
      </c>
      <c r="B106">
        <v>26716</v>
      </c>
      <c r="C106" t="s">
        <v>126</v>
      </c>
      <c r="D106" t="s">
        <v>127</v>
      </c>
      <c r="E106">
        <v>0.74861111111111112</v>
      </c>
      <c r="F106" t="s">
        <v>128</v>
      </c>
      <c r="G106">
        <v>1</v>
      </c>
      <c r="H106">
        <v>10201</v>
      </c>
      <c r="K106" t="b">
        <v>1</v>
      </c>
      <c r="L106" t="s">
        <v>129</v>
      </c>
      <c r="M106">
        <v>16987</v>
      </c>
      <c r="N106" t="s">
        <v>130</v>
      </c>
      <c r="O106">
        <v>1787819294543</v>
      </c>
      <c r="P106" t="s">
        <v>65</v>
      </c>
      <c r="S106" t="s">
        <v>131</v>
      </c>
      <c r="T106" t="s">
        <v>67</v>
      </c>
      <c r="U106" t="s">
        <v>87</v>
      </c>
      <c r="V106">
        <v>19288</v>
      </c>
      <c r="W106" t="b">
        <v>0</v>
      </c>
      <c r="X106">
        <v>0</v>
      </c>
      <c r="Y106" t="s">
        <v>132</v>
      </c>
      <c r="Z106" t="b">
        <v>0</v>
      </c>
      <c r="AA106" t="s">
        <v>133</v>
      </c>
      <c r="AB106">
        <v>270826917532</v>
      </c>
      <c r="AC106" t="s">
        <v>134</v>
      </c>
      <c r="AD106" t="s">
        <v>134</v>
      </c>
      <c r="AE106">
        <v>8</v>
      </c>
      <c r="AF106">
        <v>6</v>
      </c>
      <c r="AG106" t="s">
        <v>91</v>
      </c>
      <c r="AH106" t="s">
        <v>131</v>
      </c>
      <c r="AI106" t="s">
        <v>74</v>
      </c>
      <c r="AJ106" t="s">
        <v>75</v>
      </c>
      <c r="AK106" t="s">
        <v>76</v>
      </c>
      <c r="AL106" t="s">
        <v>135</v>
      </c>
      <c r="AM106" t="s">
        <v>78</v>
      </c>
      <c r="AN106" t="b">
        <v>0</v>
      </c>
      <c r="AO106">
        <v>1019</v>
      </c>
      <c r="AP106" t="s">
        <v>65</v>
      </c>
      <c r="AQ106" t="b">
        <v>1</v>
      </c>
      <c r="AR106">
        <v>0</v>
      </c>
      <c r="AS106">
        <v>0</v>
      </c>
      <c r="AT106">
        <v>0</v>
      </c>
      <c r="AU106">
        <v>0</v>
      </c>
      <c r="AV106">
        <v>0</v>
      </c>
      <c r="AW106" t="b">
        <v>0</v>
      </c>
      <c r="AX106" t="b">
        <v>0</v>
      </c>
      <c r="AY106" t="s">
        <v>79</v>
      </c>
      <c r="AZ106" t="b">
        <v>0</v>
      </c>
      <c r="BA106" t="s">
        <v>136</v>
      </c>
      <c r="BB106" t="s">
        <v>137</v>
      </c>
      <c r="BC106" t="s">
        <v>138</v>
      </c>
      <c r="BD106" t="b">
        <v>0</v>
      </c>
      <c r="BF106" t="b">
        <v>0</v>
      </c>
    </row>
    <row r="107" spans="1:58" x14ac:dyDescent="0.25">
      <c r="A107">
        <v>3.9</v>
      </c>
      <c r="B107">
        <v>26716</v>
      </c>
      <c r="C107" t="s">
        <v>126</v>
      </c>
      <c r="D107" t="s">
        <v>127</v>
      </c>
      <c r="E107">
        <v>0.5805555555555556</v>
      </c>
      <c r="F107" t="s">
        <v>139</v>
      </c>
      <c r="G107">
        <v>1</v>
      </c>
      <c r="H107">
        <v>10201</v>
      </c>
      <c r="K107" t="b">
        <v>1</v>
      </c>
      <c r="L107" t="s">
        <v>140</v>
      </c>
      <c r="M107">
        <v>16987</v>
      </c>
      <c r="N107" t="s">
        <v>130</v>
      </c>
      <c r="O107">
        <v>1787718372586</v>
      </c>
      <c r="P107" t="s">
        <v>65</v>
      </c>
      <c r="S107" t="s">
        <v>118</v>
      </c>
      <c r="T107" t="s">
        <v>67</v>
      </c>
      <c r="U107" t="s">
        <v>99</v>
      </c>
      <c r="V107">
        <v>19288</v>
      </c>
      <c r="W107" t="b">
        <v>0</v>
      </c>
      <c r="X107">
        <v>0</v>
      </c>
      <c r="Y107" t="s">
        <v>141</v>
      </c>
      <c r="Z107" t="b">
        <v>0</v>
      </c>
      <c r="AA107" t="s">
        <v>142</v>
      </c>
      <c r="AB107">
        <v>260826909019</v>
      </c>
      <c r="AC107" t="s">
        <v>134</v>
      </c>
      <c r="AD107" t="s">
        <v>134</v>
      </c>
      <c r="AE107">
        <v>10</v>
      </c>
      <c r="AF107">
        <v>8</v>
      </c>
      <c r="AG107" t="s">
        <v>91</v>
      </c>
      <c r="AH107" t="s">
        <v>118</v>
      </c>
      <c r="AI107" t="s">
        <v>74</v>
      </c>
      <c r="AJ107" t="s">
        <v>75</v>
      </c>
      <c r="AK107" t="s">
        <v>76</v>
      </c>
      <c r="AL107" t="s">
        <v>135</v>
      </c>
      <c r="AM107" t="s">
        <v>78</v>
      </c>
      <c r="AN107" t="b">
        <v>0</v>
      </c>
      <c r="AO107">
        <v>1019</v>
      </c>
      <c r="AP107" t="s">
        <v>65</v>
      </c>
      <c r="AQ107" t="b">
        <v>1</v>
      </c>
      <c r="AR107">
        <v>0</v>
      </c>
      <c r="AS107">
        <v>0</v>
      </c>
      <c r="AT107">
        <v>0</v>
      </c>
      <c r="AU107">
        <v>0</v>
      </c>
      <c r="AV107">
        <v>0</v>
      </c>
      <c r="AW107" t="b">
        <v>0</v>
      </c>
      <c r="AX107" t="b">
        <v>0</v>
      </c>
      <c r="AY107" t="s">
        <v>79</v>
      </c>
      <c r="AZ107" t="b">
        <v>0</v>
      </c>
      <c r="BA107" t="s">
        <v>136</v>
      </c>
      <c r="BB107" t="s">
        <v>143</v>
      </c>
      <c r="BC107" t="s">
        <v>138</v>
      </c>
      <c r="BD107" t="b">
        <v>0</v>
      </c>
      <c r="BF107" t="b">
        <v>0</v>
      </c>
    </row>
    <row r="108" spans="1:58" x14ac:dyDescent="0.25">
      <c r="A108">
        <v>3.9</v>
      </c>
      <c r="B108">
        <v>26716</v>
      </c>
      <c r="C108" t="s">
        <v>126</v>
      </c>
      <c r="D108" t="s">
        <v>127</v>
      </c>
      <c r="E108">
        <v>0.79583333333333328</v>
      </c>
      <c r="F108" t="s">
        <v>199</v>
      </c>
      <c r="G108">
        <v>1</v>
      </c>
      <c r="H108">
        <v>10201</v>
      </c>
      <c r="K108" t="b">
        <v>1</v>
      </c>
      <c r="L108" t="s">
        <v>200</v>
      </c>
      <c r="M108">
        <v>16987</v>
      </c>
      <c r="N108" t="s">
        <v>130</v>
      </c>
      <c r="O108">
        <v>1787218594529</v>
      </c>
      <c r="P108" t="s">
        <v>65</v>
      </c>
      <c r="S108" t="s">
        <v>191</v>
      </c>
      <c r="T108" t="s">
        <v>67</v>
      </c>
      <c r="U108" t="s">
        <v>201</v>
      </c>
      <c r="V108">
        <v>19288</v>
      </c>
      <c r="W108" t="b">
        <v>0</v>
      </c>
      <c r="X108">
        <v>0</v>
      </c>
      <c r="Y108" t="s">
        <v>202</v>
      </c>
      <c r="Z108" t="b">
        <v>0</v>
      </c>
      <c r="AA108" t="s">
        <v>203</v>
      </c>
      <c r="AB108">
        <v>200826923685</v>
      </c>
      <c r="AC108" t="s">
        <v>134</v>
      </c>
      <c r="AD108" t="s">
        <v>134</v>
      </c>
      <c r="AE108">
        <v>10</v>
      </c>
      <c r="AF108">
        <v>5</v>
      </c>
      <c r="AG108" t="s">
        <v>91</v>
      </c>
      <c r="AH108" t="s">
        <v>191</v>
      </c>
      <c r="AI108" t="s">
        <v>74</v>
      </c>
      <c r="AJ108" t="s">
        <v>75</v>
      </c>
      <c r="AK108" t="s">
        <v>76</v>
      </c>
      <c r="AL108" t="s">
        <v>135</v>
      </c>
      <c r="AM108" t="s">
        <v>78</v>
      </c>
      <c r="AN108" t="b">
        <v>0</v>
      </c>
      <c r="AO108">
        <v>1019</v>
      </c>
      <c r="AP108" t="s">
        <v>65</v>
      </c>
      <c r="AQ108" t="b">
        <v>1</v>
      </c>
      <c r="AR108">
        <v>0</v>
      </c>
      <c r="AS108">
        <v>0</v>
      </c>
      <c r="AT108">
        <v>0</v>
      </c>
      <c r="AU108">
        <v>0</v>
      </c>
      <c r="AV108">
        <v>0</v>
      </c>
      <c r="AW108" t="b">
        <v>0</v>
      </c>
      <c r="AX108" t="b">
        <v>0</v>
      </c>
      <c r="AY108" t="s">
        <v>79</v>
      </c>
      <c r="AZ108" t="b">
        <v>0</v>
      </c>
      <c r="BA108" t="s">
        <v>136</v>
      </c>
      <c r="BB108" t="s">
        <v>204</v>
      </c>
      <c r="BC108" t="s">
        <v>138</v>
      </c>
      <c r="BD108" t="b">
        <v>0</v>
      </c>
      <c r="BF108" t="b">
        <v>0</v>
      </c>
    </row>
    <row r="109" spans="1:58" x14ac:dyDescent="0.25">
      <c r="A109">
        <v>3.2</v>
      </c>
      <c r="B109">
        <v>118481</v>
      </c>
      <c r="C109" t="s">
        <v>144</v>
      </c>
      <c r="D109" t="s">
        <v>145</v>
      </c>
      <c r="E109">
        <v>0.8208333333333333</v>
      </c>
      <c r="G109">
        <v>1</v>
      </c>
      <c r="H109">
        <v>2949</v>
      </c>
      <c r="K109" t="b">
        <v>0</v>
      </c>
      <c r="M109">
        <v>892542</v>
      </c>
      <c r="N109" t="s">
        <v>146</v>
      </c>
      <c r="O109">
        <v>1787911934859</v>
      </c>
      <c r="P109" t="s">
        <v>65</v>
      </c>
      <c r="S109" t="s">
        <v>147</v>
      </c>
      <c r="T109" t="s">
        <v>67</v>
      </c>
      <c r="U109" t="s">
        <v>119</v>
      </c>
      <c r="V109">
        <v>223346</v>
      </c>
      <c r="W109" t="b">
        <v>0</v>
      </c>
      <c r="X109">
        <v>0</v>
      </c>
      <c r="Y109" t="s">
        <v>148</v>
      </c>
      <c r="Z109" t="b">
        <v>1</v>
      </c>
      <c r="AA109" t="s">
        <v>149</v>
      </c>
      <c r="AB109">
        <v>280826008430</v>
      </c>
      <c r="AC109" t="s">
        <v>150</v>
      </c>
      <c r="AD109" t="s">
        <v>150</v>
      </c>
      <c r="AE109">
        <v>10</v>
      </c>
      <c r="AF109">
        <v>6</v>
      </c>
      <c r="AG109" t="s">
        <v>91</v>
      </c>
      <c r="AH109" t="s">
        <v>147</v>
      </c>
      <c r="AI109" t="s">
        <v>74</v>
      </c>
      <c r="AJ109" t="s">
        <v>75</v>
      </c>
      <c r="AK109" t="s">
        <v>76</v>
      </c>
      <c r="AL109" t="s">
        <v>151</v>
      </c>
      <c r="AM109" t="s">
        <v>78</v>
      </c>
      <c r="AN109" t="b">
        <v>0</v>
      </c>
      <c r="AO109">
        <v>1019</v>
      </c>
      <c r="AP109" t="s">
        <v>65</v>
      </c>
      <c r="AQ109" t="b">
        <v>1</v>
      </c>
      <c r="AR109">
        <v>0</v>
      </c>
      <c r="AS109">
        <v>0</v>
      </c>
      <c r="AT109">
        <v>0</v>
      </c>
      <c r="AU109">
        <v>0</v>
      </c>
      <c r="AV109">
        <v>0</v>
      </c>
      <c r="AW109" t="b">
        <v>0</v>
      </c>
      <c r="AX109" t="b">
        <v>0</v>
      </c>
      <c r="AY109" t="s">
        <v>79</v>
      </c>
      <c r="AZ109" t="b">
        <v>0</v>
      </c>
      <c r="BA109" t="s">
        <v>152</v>
      </c>
      <c r="BB109" t="s">
        <v>153</v>
      </c>
      <c r="BC109" t="s">
        <v>82</v>
      </c>
      <c r="BD109" t="b">
        <v>0</v>
      </c>
      <c r="BF109" t="b">
        <v>0</v>
      </c>
    </row>
    <row r="110" spans="1:58" x14ac:dyDescent="0.25">
      <c r="A110">
        <v>3.7</v>
      </c>
      <c r="B110">
        <v>6800</v>
      </c>
      <c r="C110" t="s">
        <v>165</v>
      </c>
      <c r="D110" t="s">
        <v>166</v>
      </c>
      <c r="E110">
        <v>0.92569444444444449</v>
      </c>
      <c r="G110">
        <v>1</v>
      </c>
      <c r="H110">
        <v>2639</v>
      </c>
      <c r="K110" t="b">
        <v>0</v>
      </c>
      <c r="M110">
        <v>19934</v>
      </c>
      <c r="N110" t="s">
        <v>167</v>
      </c>
      <c r="O110">
        <v>1787316218988</v>
      </c>
      <c r="P110" t="s">
        <v>65</v>
      </c>
      <c r="S110" t="s">
        <v>168</v>
      </c>
      <c r="T110" t="s">
        <v>67</v>
      </c>
      <c r="U110" t="s">
        <v>169</v>
      </c>
      <c r="V110">
        <v>21746</v>
      </c>
      <c r="W110" t="b">
        <v>0</v>
      </c>
      <c r="X110">
        <v>0</v>
      </c>
      <c r="Y110" t="s">
        <v>170</v>
      </c>
      <c r="Z110" t="b">
        <v>1</v>
      </c>
      <c r="AA110" t="s">
        <v>171</v>
      </c>
      <c r="AB110">
        <v>210826932923</v>
      </c>
      <c r="AC110" t="s">
        <v>172</v>
      </c>
      <c r="AD110" t="s">
        <v>172</v>
      </c>
      <c r="AE110">
        <v>13</v>
      </c>
      <c r="AF110">
        <v>8</v>
      </c>
      <c r="AG110" t="s">
        <v>91</v>
      </c>
      <c r="AH110" t="s">
        <v>168</v>
      </c>
      <c r="AI110" t="s">
        <v>74</v>
      </c>
      <c r="AJ110" t="s">
        <v>75</v>
      </c>
      <c r="AK110" t="s">
        <v>76</v>
      </c>
      <c r="AL110" t="s">
        <v>135</v>
      </c>
      <c r="AM110" t="s">
        <v>78</v>
      </c>
      <c r="AN110" t="b">
        <v>0</v>
      </c>
      <c r="AO110">
        <v>1028</v>
      </c>
      <c r="AP110" t="s">
        <v>65</v>
      </c>
      <c r="AQ110" t="b">
        <v>1</v>
      </c>
      <c r="AR110">
        <v>0</v>
      </c>
      <c r="AS110">
        <v>0</v>
      </c>
      <c r="AT110">
        <v>0</v>
      </c>
      <c r="AU110">
        <v>0</v>
      </c>
      <c r="AV110">
        <v>0</v>
      </c>
      <c r="AW110" t="b">
        <v>0</v>
      </c>
      <c r="AX110" t="b">
        <v>0</v>
      </c>
      <c r="AY110" t="s">
        <v>79</v>
      </c>
      <c r="AZ110" t="b">
        <v>0</v>
      </c>
      <c r="BA110" t="s">
        <v>173</v>
      </c>
      <c r="BB110" t="s">
        <v>174</v>
      </c>
      <c r="BC110" t="s">
        <v>175</v>
      </c>
      <c r="BD110" t="b">
        <v>0</v>
      </c>
      <c r="BF110" t="b">
        <v>0</v>
      </c>
    </row>
    <row r="111" spans="1:58" x14ac:dyDescent="0.25">
      <c r="A111">
        <v>3.5</v>
      </c>
      <c r="B111">
        <v>50684</v>
      </c>
      <c r="C111" t="s">
        <v>205</v>
      </c>
      <c r="D111" t="s">
        <v>206</v>
      </c>
      <c r="E111">
        <v>0.90694444444444444</v>
      </c>
      <c r="G111">
        <v>1</v>
      </c>
      <c r="I111">
        <v>1</v>
      </c>
      <c r="J111" t="s">
        <v>207</v>
      </c>
      <c r="K111" t="b">
        <v>0</v>
      </c>
      <c r="M111">
        <v>124269780</v>
      </c>
      <c r="N111" t="s">
        <v>208</v>
      </c>
      <c r="O111">
        <v>1787573805796</v>
      </c>
      <c r="P111" t="s">
        <v>65</v>
      </c>
      <c r="Q111" t="s">
        <v>209</v>
      </c>
      <c r="R111" t="b">
        <v>0</v>
      </c>
      <c r="S111" t="s">
        <v>210</v>
      </c>
      <c r="T111" t="s">
        <v>67</v>
      </c>
      <c r="U111" t="s">
        <v>211</v>
      </c>
      <c r="V111">
        <v>13832</v>
      </c>
      <c r="W111" t="b">
        <v>0</v>
      </c>
      <c r="X111">
        <v>0</v>
      </c>
      <c r="Y111" t="s">
        <v>212</v>
      </c>
      <c r="Z111" t="b">
        <v>0</v>
      </c>
      <c r="AA111" t="s">
        <v>213</v>
      </c>
      <c r="AB111">
        <v>170826004896</v>
      </c>
      <c r="AC111" t="s">
        <v>214</v>
      </c>
      <c r="AD111" t="s">
        <v>214</v>
      </c>
      <c r="AE111">
        <v>8</v>
      </c>
      <c r="AF111">
        <v>5</v>
      </c>
      <c r="AG111" t="s">
        <v>91</v>
      </c>
      <c r="AH111" t="s">
        <v>210</v>
      </c>
      <c r="AI111" t="s">
        <v>74</v>
      </c>
      <c r="AJ111" t="s">
        <v>75</v>
      </c>
      <c r="AK111" t="s">
        <v>76</v>
      </c>
      <c r="AL111" t="s">
        <v>215</v>
      </c>
      <c r="AM111" t="s">
        <v>78</v>
      </c>
      <c r="AN111" t="b">
        <v>1</v>
      </c>
      <c r="AO111">
        <v>1028</v>
      </c>
      <c r="AP111" t="s">
        <v>65</v>
      </c>
      <c r="AQ111" t="b">
        <v>1</v>
      </c>
      <c r="AR111">
        <v>0</v>
      </c>
      <c r="AS111">
        <v>0</v>
      </c>
      <c r="AT111">
        <v>0</v>
      </c>
      <c r="AU111">
        <v>0</v>
      </c>
      <c r="AV111">
        <v>0</v>
      </c>
      <c r="AW111" t="b">
        <v>0</v>
      </c>
      <c r="AX111" t="b">
        <v>0</v>
      </c>
      <c r="AY111" t="s">
        <v>79</v>
      </c>
      <c r="AZ111" t="b">
        <v>0</v>
      </c>
      <c r="BA111" t="s">
        <v>216</v>
      </c>
      <c r="BB111" t="s">
        <v>217</v>
      </c>
      <c r="BC111" t="s">
        <v>218</v>
      </c>
      <c r="BD111" t="b">
        <v>0</v>
      </c>
      <c r="BE111">
        <v>1000</v>
      </c>
      <c r="BF111" t="b">
        <v>0</v>
      </c>
    </row>
    <row r="112" spans="1:58" x14ac:dyDescent="0.25">
      <c r="A112">
        <v>3.6</v>
      </c>
      <c r="B112">
        <v>55803</v>
      </c>
      <c r="C112" t="s">
        <v>269</v>
      </c>
      <c r="D112" t="s">
        <v>270</v>
      </c>
      <c r="E112">
        <v>0.58402777777777781</v>
      </c>
      <c r="G112">
        <v>1</v>
      </c>
      <c r="K112" t="b">
        <v>0</v>
      </c>
      <c r="M112">
        <v>7053</v>
      </c>
      <c r="N112" t="s">
        <v>271</v>
      </c>
      <c r="O112">
        <v>1787891469293</v>
      </c>
      <c r="P112" t="s">
        <v>65</v>
      </c>
      <c r="S112" t="s">
        <v>147</v>
      </c>
      <c r="T112" t="s">
        <v>67</v>
      </c>
      <c r="U112" t="s">
        <v>119</v>
      </c>
      <c r="V112">
        <v>1288</v>
      </c>
      <c r="W112" t="b">
        <v>0</v>
      </c>
      <c r="X112">
        <v>0</v>
      </c>
      <c r="Y112" t="s">
        <v>272</v>
      </c>
      <c r="Z112" t="b">
        <v>1</v>
      </c>
      <c r="AA112" t="s">
        <v>273</v>
      </c>
      <c r="AB112">
        <v>280826002654</v>
      </c>
      <c r="AC112" t="s">
        <v>274</v>
      </c>
      <c r="AD112" t="s">
        <v>274</v>
      </c>
      <c r="AE112">
        <v>10</v>
      </c>
      <c r="AF112">
        <v>6</v>
      </c>
      <c r="AG112" t="s">
        <v>91</v>
      </c>
      <c r="AH112" t="s">
        <v>147</v>
      </c>
      <c r="AI112" t="s">
        <v>74</v>
      </c>
      <c r="AJ112" t="s">
        <v>75</v>
      </c>
      <c r="AK112" t="s">
        <v>76</v>
      </c>
      <c r="AL112" t="s">
        <v>275</v>
      </c>
      <c r="AM112" t="s">
        <v>78</v>
      </c>
      <c r="AN112" t="b">
        <v>0</v>
      </c>
      <c r="AO112">
        <v>1008</v>
      </c>
      <c r="AP112" t="s">
        <v>65</v>
      </c>
      <c r="AQ112" t="b">
        <v>1</v>
      </c>
      <c r="AR112">
        <v>0</v>
      </c>
      <c r="AS112">
        <v>0</v>
      </c>
      <c r="AT112">
        <v>0</v>
      </c>
      <c r="AU112">
        <v>0</v>
      </c>
      <c r="AV112">
        <v>0</v>
      </c>
      <c r="AW112" t="b">
        <v>0</v>
      </c>
      <c r="AX112" t="b">
        <v>0</v>
      </c>
      <c r="AY112" t="s">
        <v>79</v>
      </c>
      <c r="AZ112" t="b">
        <v>0</v>
      </c>
      <c r="BA112" t="s">
        <v>276</v>
      </c>
      <c r="BB112" t="s">
        <v>277</v>
      </c>
      <c r="BC112" t="s">
        <v>278</v>
      </c>
      <c r="BD112" t="b">
        <v>0</v>
      </c>
      <c r="BE112">
        <v>4</v>
      </c>
      <c r="BF112" t="b">
        <v>0</v>
      </c>
    </row>
    <row r="113" spans="1:58" x14ac:dyDescent="0.25">
      <c r="A113">
        <v>3.2</v>
      </c>
      <c r="B113">
        <v>118481</v>
      </c>
      <c r="C113" t="s">
        <v>144</v>
      </c>
      <c r="D113" t="s">
        <v>145</v>
      </c>
      <c r="E113">
        <v>0.8208333333333333</v>
      </c>
      <c r="G113">
        <v>1</v>
      </c>
      <c r="H113">
        <v>2949</v>
      </c>
      <c r="K113" t="b">
        <v>0</v>
      </c>
      <c r="M113">
        <v>892542</v>
      </c>
      <c r="N113" t="s">
        <v>146</v>
      </c>
      <c r="O113">
        <v>1787911934859</v>
      </c>
      <c r="P113" t="s">
        <v>65</v>
      </c>
      <c r="S113" t="s">
        <v>147</v>
      </c>
      <c r="T113" t="s">
        <v>67</v>
      </c>
      <c r="U113" t="s">
        <v>119</v>
      </c>
      <c r="V113">
        <v>223346</v>
      </c>
      <c r="W113" t="b">
        <v>0</v>
      </c>
      <c r="X113">
        <v>0</v>
      </c>
      <c r="Y113" t="s">
        <v>148</v>
      </c>
      <c r="Z113" t="b">
        <v>1</v>
      </c>
      <c r="AA113" t="s">
        <v>149</v>
      </c>
      <c r="AB113">
        <v>280826008430</v>
      </c>
      <c r="AC113" t="s">
        <v>150</v>
      </c>
      <c r="AD113" t="s">
        <v>150</v>
      </c>
      <c r="AE113">
        <v>10</v>
      </c>
      <c r="AF113">
        <v>6</v>
      </c>
      <c r="AG113" t="s">
        <v>91</v>
      </c>
      <c r="AH113" t="s">
        <v>147</v>
      </c>
      <c r="AI113" t="s">
        <v>74</v>
      </c>
      <c r="AJ113" t="s">
        <v>75</v>
      </c>
      <c r="AK113" t="s">
        <v>76</v>
      </c>
      <c r="AL113" t="s">
        <v>151</v>
      </c>
      <c r="AM113" t="s">
        <v>78</v>
      </c>
      <c r="AN113" t="b">
        <v>0</v>
      </c>
      <c r="AO113">
        <v>1019</v>
      </c>
      <c r="AP113" t="s">
        <v>65</v>
      </c>
      <c r="AQ113" t="b">
        <v>1</v>
      </c>
      <c r="AR113">
        <v>0</v>
      </c>
      <c r="AS113">
        <v>0</v>
      </c>
      <c r="AT113">
        <v>0</v>
      </c>
      <c r="AU113">
        <v>0</v>
      </c>
      <c r="AV113">
        <v>0</v>
      </c>
      <c r="AW113" t="b">
        <v>0</v>
      </c>
      <c r="AX113" t="b">
        <v>0</v>
      </c>
      <c r="AY113" t="s">
        <v>79</v>
      </c>
      <c r="AZ113" t="b">
        <v>0</v>
      </c>
      <c r="BA113" t="s">
        <v>152</v>
      </c>
      <c r="BB113" t="s">
        <v>153</v>
      </c>
      <c r="BC113" t="s">
        <v>82</v>
      </c>
      <c r="BD113" t="b">
        <v>0</v>
      </c>
      <c r="BF113" t="b">
        <v>0</v>
      </c>
    </row>
    <row r="114" spans="1:58" x14ac:dyDescent="0.25">
      <c r="A114">
        <v>3.3</v>
      </c>
      <c r="B114">
        <v>44982</v>
      </c>
      <c r="C114" t="s">
        <v>279</v>
      </c>
      <c r="D114" t="s">
        <v>280</v>
      </c>
      <c r="E114">
        <v>0.87916666666666665</v>
      </c>
      <c r="G114">
        <v>1</v>
      </c>
      <c r="K114" t="b">
        <v>0</v>
      </c>
      <c r="M114">
        <v>100007</v>
      </c>
      <c r="N114" t="s">
        <v>281</v>
      </c>
      <c r="O114">
        <v>1787916961913</v>
      </c>
      <c r="P114" t="s">
        <v>65</v>
      </c>
      <c r="S114" t="s">
        <v>282</v>
      </c>
      <c r="T114" t="s">
        <v>67</v>
      </c>
      <c r="U114" t="s">
        <v>119</v>
      </c>
      <c r="V114">
        <v>2114</v>
      </c>
      <c r="W114" t="b">
        <v>0</v>
      </c>
      <c r="X114">
        <v>0</v>
      </c>
      <c r="Y114" t="s">
        <v>283</v>
      </c>
      <c r="Z114" t="b">
        <v>1</v>
      </c>
      <c r="AA114" t="s">
        <v>284</v>
      </c>
      <c r="AB114">
        <v>280826009678</v>
      </c>
      <c r="AC114" t="s">
        <v>285</v>
      </c>
      <c r="AD114" t="s">
        <v>285</v>
      </c>
      <c r="AE114">
        <v>11</v>
      </c>
      <c r="AF114">
        <v>7</v>
      </c>
      <c r="AG114" t="s">
        <v>91</v>
      </c>
      <c r="AH114" t="s">
        <v>282</v>
      </c>
      <c r="AI114" t="s">
        <v>74</v>
      </c>
      <c r="AJ114" t="s">
        <v>75</v>
      </c>
      <c r="AK114" t="s">
        <v>76</v>
      </c>
      <c r="AL114" t="s">
        <v>222</v>
      </c>
      <c r="AM114" t="s">
        <v>78</v>
      </c>
      <c r="AN114" t="b">
        <v>1</v>
      </c>
      <c r="AO114">
        <v>1019</v>
      </c>
      <c r="AP114" t="s">
        <v>65</v>
      </c>
      <c r="AQ114" t="b">
        <v>1</v>
      </c>
      <c r="AR114">
        <v>0</v>
      </c>
      <c r="AS114">
        <v>0</v>
      </c>
      <c r="AT114">
        <v>0</v>
      </c>
      <c r="AU114">
        <v>0</v>
      </c>
      <c r="AV114">
        <v>0</v>
      </c>
      <c r="AW114" t="b">
        <v>0</v>
      </c>
      <c r="AX114" t="b">
        <v>0</v>
      </c>
      <c r="AY114" t="s">
        <v>79</v>
      </c>
      <c r="AZ114" t="b">
        <v>0</v>
      </c>
      <c r="BA114" t="s">
        <v>286</v>
      </c>
      <c r="BB114" t="s">
        <v>287</v>
      </c>
      <c r="BC114" t="s">
        <v>82</v>
      </c>
      <c r="BD114" t="b">
        <v>0</v>
      </c>
      <c r="BE114">
        <v>5</v>
      </c>
      <c r="BF114" t="b">
        <v>0</v>
      </c>
    </row>
    <row r="115" spans="1:58" x14ac:dyDescent="0.25">
      <c r="A115">
        <v>3.9</v>
      </c>
      <c r="B115">
        <v>26716</v>
      </c>
      <c r="C115" t="s">
        <v>126</v>
      </c>
      <c r="D115" t="s">
        <v>127</v>
      </c>
      <c r="E115">
        <v>0.74861111111111112</v>
      </c>
      <c r="F115" t="s">
        <v>128</v>
      </c>
      <c r="G115">
        <v>1</v>
      </c>
      <c r="H115">
        <v>10201</v>
      </c>
      <c r="K115" t="b">
        <v>1</v>
      </c>
      <c r="L115" t="s">
        <v>129</v>
      </c>
      <c r="M115">
        <v>16987</v>
      </c>
      <c r="N115" t="s">
        <v>130</v>
      </c>
      <c r="O115">
        <v>1787819294543</v>
      </c>
      <c r="P115" t="s">
        <v>65</v>
      </c>
      <c r="S115" t="s">
        <v>131</v>
      </c>
      <c r="T115" t="s">
        <v>67</v>
      </c>
      <c r="U115" t="s">
        <v>87</v>
      </c>
      <c r="V115">
        <v>19288</v>
      </c>
      <c r="W115" t="b">
        <v>0</v>
      </c>
      <c r="X115">
        <v>0</v>
      </c>
      <c r="Y115" t="s">
        <v>132</v>
      </c>
      <c r="Z115" t="b">
        <v>0</v>
      </c>
      <c r="AA115" t="s">
        <v>133</v>
      </c>
      <c r="AB115">
        <v>270826917532</v>
      </c>
      <c r="AC115" t="s">
        <v>134</v>
      </c>
      <c r="AD115" t="s">
        <v>134</v>
      </c>
      <c r="AE115">
        <v>8</v>
      </c>
      <c r="AF115">
        <v>6</v>
      </c>
      <c r="AG115" t="s">
        <v>91</v>
      </c>
      <c r="AH115" t="s">
        <v>131</v>
      </c>
      <c r="AI115" t="s">
        <v>74</v>
      </c>
      <c r="AJ115" t="s">
        <v>75</v>
      </c>
      <c r="AK115" t="s">
        <v>76</v>
      </c>
      <c r="AL115" t="s">
        <v>135</v>
      </c>
      <c r="AM115" t="s">
        <v>78</v>
      </c>
      <c r="AN115" t="b">
        <v>0</v>
      </c>
      <c r="AO115">
        <v>1019</v>
      </c>
      <c r="AP115" t="s">
        <v>65</v>
      </c>
      <c r="AQ115" t="b">
        <v>1</v>
      </c>
      <c r="AR115">
        <v>0</v>
      </c>
      <c r="AS115">
        <v>0</v>
      </c>
      <c r="AT115">
        <v>0</v>
      </c>
      <c r="AU115">
        <v>0</v>
      </c>
      <c r="AV115">
        <v>0</v>
      </c>
      <c r="AW115" t="b">
        <v>0</v>
      </c>
      <c r="AX115" t="b">
        <v>0</v>
      </c>
      <c r="AY115" t="s">
        <v>79</v>
      </c>
      <c r="AZ115" t="b">
        <v>0</v>
      </c>
      <c r="BA115" t="s">
        <v>136</v>
      </c>
      <c r="BB115" t="s">
        <v>137</v>
      </c>
      <c r="BC115" t="s">
        <v>138</v>
      </c>
      <c r="BD115" t="b">
        <v>0</v>
      </c>
      <c r="BF115" t="b">
        <v>0</v>
      </c>
    </row>
    <row r="116" spans="1:58" x14ac:dyDescent="0.25">
      <c r="A116">
        <v>3.4</v>
      </c>
      <c r="B116">
        <v>47884</v>
      </c>
      <c r="C116" t="s">
        <v>83</v>
      </c>
      <c r="D116" t="s">
        <v>84</v>
      </c>
      <c r="E116">
        <v>0.62777777777777777</v>
      </c>
      <c r="G116">
        <v>1</v>
      </c>
      <c r="H116">
        <v>3730</v>
      </c>
      <c r="K116" t="b">
        <v>0</v>
      </c>
      <c r="M116">
        <v>2904476</v>
      </c>
      <c r="N116" t="s">
        <v>85</v>
      </c>
      <c r="O116">
        <v>1787808879920</v>
      </c>
      <c r="P116" t="s">
        <v>65</v>
      </c>
      <c r="S116" t="s">
        <v>86</v>
      </c>
      <c r="T116" t="s">
        <v>67</v>
      </c>
      <c r="U116" t="s">
        <v>87</v>
      </c>
      <c r="V116">
        <v>194354</v>
      </c>
      <c r="W116" t="b">
        <v>0</v>
      </c>
      <c r="X116">
        <v>0</v>
      </c>
      <c r="Y116" t="s">
        <v>88</v>
      </c>
      <c r="Z116" t="b">
        <v>1</v>
      </c>
      <c r="AA116" t="s">
        <v>89</v>
      </c>
      <c r="AB116">
        <v>270826010477</v>
      </c>
      <c r="AC116" t="s">
        <v>90</v>
      </c>
      <c r="AD116" t="s">
        <v>90</v>
      </c>
      <c r="AE116">
        <v>7</v>
      </c>
      <c r="AF116">
        <v>4</v>
      </c>
      <c r="AG116" t="s">
        <v>91</v>
      </c>
      <c r="AH116" t="s">
        <v>86</v>
      </c>
      <c r="AI116" t="s">
        <v>74</v>
      </c>
      <c r="AJ116" t="s">
        <v>75</v>
      </c>
      <c r="AK116" t="s">
        <v>76</v>
      </c>
      <c r="AL116" t="s">
        <v>92</v>
      </c>
      <c r="AM116" t="s">
        <v>78</v>
      </c>
      <c r="AN116" t="b">
        <v>1</v>
      </c>
      <c r="AO116">
        <v>1020</v>
      </c>
      <c r="AP116" t="s">
        <v>65</v>
      </c>
      <c r="AQ116" t="b">
        <v>1</v>
      </c>
      <c r="AR116">
        <v>0</v>
      </c>
      <c r="AS116">
        <v>0</v>
      </c>
      <c r="AT116">
        <v>0</v>
      </c>
      <c r="AU116">
        <v>0</v>
      </c>
      <c r="AV116">
        <v>0</v>
      </c>
      <c r="AW116" t="b">
        <v>0</v>
      </c>
      <c r="AX116" t="b">
        <v>0</v>
      </c>
      <c r="AY116" t="s">
        <v>79</v>
      </c>
      <c r="AZ116" t="b">
        <v>0</v>
      </c>
      <c r="BA116" t="s">
        <v>93</v>
      </c>
      <c r="BB116" t="s">
        <v>94</v>
      </c>
      <c r="BC116" t="s">
        <v>82</v>
      </c>
      <c r="BD116" t="b">
        <v>0</v>
      </c>
      <c r="BF116" t="b">
        <v>0</v>
      </c>
    </row>
    <row r="117" spans="1:58" x14ac:dyDescent="0.25">
      <c r="A117">
        <v>3.3</v>
      </c>
      <c r="B117">
        <v>13397</v>
      </c>
      <c r="C117" t="s">
        <v>95</v>
      </c>
      <c r="D117" t="s">
        <v>96</v>
      </c>
      <c r="E117">
        <v>0.69722222222222219</v>
      </c>
      <c r="G117">
        <v>1</v>
      </c>
      <c r="K117" t="b">
        <v>0</v>
      </c>
      <c r="M117">
        <v>676499</v>
      </c>
      <c r="N117" t="s">
        <v>97</v>
      </c>
      <c r="O117">
        <v>1787728452770</v>
      </c>
      <c r="P117" t="s">
        <v>65</v>
      </c>
      <c r="S117" t="s">
        <v>98</v>
      </c>
      <c r="T117" t="s">
        <v>67</v>
      </c>
      <c r="U117" t="s">
        <v>99</v>
      </c>
      <c r="V117">
        <v>9246</v>
      </c>
      <c r="W117" t="b">
        <v>0</v>
      </c>
      <c r="X117">
        <v>0</v>
      </c>
      <c r="Y117" t="s">
        <v>100</v>
      </c>
      <c r="Z117" t="b">
        <v>1</v>
      </c>
      <c r="AA117" t="s">
        <v>101</v>
      </c>
      <c r="AB117">
        <v>260826016031</v>
      </c>
      <c r="AC117" t="s">
        <v>102</v>
      </c>
      <c r="AD117" t="s">
        <v>102</v>
      </c>
      <c r="AE117">
        <v>8</v>
      </c>
      <c r="AF117">
        <v>4</v>
      </c>
      <c r="AG117" t="s">
        <v>91</v>
      </c>
      <c r="AH117" t="s">
        <v>98</v>
      </c>
      <c r="AI117" t="s">
        <v>74</v>
      </c>
      <c r="AJ117" t="s">
        <v>75</v>
      </c>
      <c r="AK117" t="s">
        <v>76</v>
      </c>
      <c r="AL117" t="s">
        <v>103</v>
      </c>
      <c r="AM117" t="s">
        <v>78</v>
      </c>
      <c r="AN117" t="b">
        <v>1</v>
      </c>
      <c r="AO117">
        <v>1019</v>
      </c>
      <c r="AP117" t="s">
        <v>65</v>
      </c>
      <c r="AQ117" t="b">
        <v>1</v>
      </c>
      <c r="AR117">
        <v>0</v>
      </c>
      <c r="AS117">
        <v>0</v>
      </c>
      <c r="AT117">
        <v>0</v>
      </c>
      <c r="AU117">
        <v>0</v>
      </c>
      <c r="AV117">
        <v>0</v>
      </c>
      <c r="AW117" t="b">
        <v>0</v>
      </c>
      <c r="AX117" t="b">
        <v>0</v>
      </c>
      <c r="AY117" t="s">
        <v>79</v>
      </c>
      <c r="AZ117" t="b">
        <v>0</v>
      </c>
      <c r="BA117" t="s">
        <v>104</v>
      </c>
      <c r="BB117" t="s">
        <v>105</v>
      </c>
      <c r="BC117" t="s">
        <v>82</v>
      </c>
      <c r="BD117" t="b">
        <v>0</v>
      </c>
      <c r="BE117">
        <v>4</v>
      </c>
      <c r="BF117" t="b">
        <v>0</v>
      </c>
    </row>
    <row r="118" spans="1:58" x14ac:dyDescent="0.25">
      <c r="A118">
        <v>3.7</v>
      </c>
      <c r="B118">
        <v>6800</v>
      </c>
      <c r="C118" t="s">
        <v>165</v>
      </c>
      <c r="D118" t="s">
        <v>166</v>
      </c>
      <c r="E118">
        <v>0.92569444444444449</v>
      </c>
      <c r="G118">
        <v>1</v>
      </c>
      <c r="H118">
        <v>2639</v>
      </c>
      <c r="K118" t="b">
        <v>0</v>
      </c>
      <c r="M118">
        <v>19934</v>
      </c>
      <c r="N118" t="s">
        <v>167</v>
      </c>
      <c r="O118">
        <v>1787316218988</v>
      </c>
      <c r="P118" t="s">
        <v>65</v>
      </c>
      <c r="S118" t="s">
        <v>168</v>
      </c>
      <c r="T118" t="s">
        <v>67</v>
      </c>
      <c r="U118" t="s">
        <v>169</v>
      </c>
      <c r="V118">
        <v>21746</v>
      </c>
      <c r="W118" t="b">
        <v>0</v>
      </c>
      <c r="X118">
        <v>0</v>
      </c>
      <c r="Y118" t="s">
        <v>170</v>
      </c>
      <c r="Z118" t="b">
        <v>1</v>
      </c>
      <c r="AA118" t="s">
        <v>171</v>
      </c>
      <c r="AB118">
        <v>210826932923</v>
      </c>
      <c r="AC118" t="s">
        <v>172</v>
      </c>
      <c r="AD118" t="s">
        <v>172</v>
      </c>
      <c r="AE118">
        <v>13</v>
      </c>
      <c r="AF118">
        <v>8</v>
      </c>
      <c r="AG118" t="s">
        <v>91</v>
      </c>
      <c r="AH118" t="s">
        <v>168</v>
      </c>
      <c r="AI118" t="s">
        <v>74</v>
      </c>
      <c r="AJ118" t="s">
        <v>75</v>
      </c>
      <c r="AK118" t="s">
        <v>76</v>
      </c>
      <c r="AL118" t="s">
        <v>135</v>
      </c>
      <c r="AM118" t="s">
        <v>78</v>
      </c>
      <c r="AN118" t="b">
        <v>0</v>
      </c>
      <c r="AO118">
        <v>1028</v>
      </c>
      <c r="AP118" t="s">
        <v>65</v>
      </c>
      <c r="AQ118" t="b">
        <v>1</v>
      </c>
      <c r="AR118">
        <v>0</v>
      </c>
      <c r="AS118">
        <v>0</v>
      </c>
      <c r="AT118">
        <v>0</v>
      </c>
      <c r="AU118">
        <v>0</v>
      </c>
      <c r="AV118">
        <v>0</v>
      </c>
      <c r="AW118" t="b">
        <v>0</v>
      </c>
      <c r="AX118" t="b">
        <v>0</v>
      </c>
      <c r="AY118" t="s">
        <v>79</v>
      </c>
      <c r="AZ118" t="b">
        <v>0</v>
      </c>
      <c r="BA118" t="s">
        <v>173</v>
      </c>
      <c r="BB118" t="s">
        <v>174</v>
      </c>
      <c r="BC118" t="s">
        <v>175</v>
      </c>
      <c r="BD118" t="b">
        <v>0</v>
      </c>
      <c r="BF118" t="b">
        <v>0</v>
      </c>
    </row>
    <row r="119" spans="1:58" x14ac:dyDescent="0.25">
      <c r="A119">
        <v>3.5</v>
      </c>
      <c r="B119">
        <v>50684</v>
      </c>
      <c r="C119" t="s">
        <v>205</v>
      </c>
      <c r="D119" t="s">
        <v>206</v>
      </c>
      <c r="E119">
        <v>0.90694444444444444</v>
      </c>
      <c r="G119">
        <v>1</v>
      </c>
      <c r="K119" t="b">
        <v>0</v>
      </c>
      <c r="M119">
        <v>124269780</v>
      </c>
      <c r="N119" t="s">
        <v>208</v>
      </c>
      <c r="O119">
        <v>1787573809755</v>
      </c>
      <c r="P119" t="s">
        <v>65</v>
      </c>
      <c r="S119" t="s">
        <v>254</v>
      </c>
      <c r="T119" t="s">
        <v>67</v>
      </c>
      <c r="U119" t="s">
        <v>211</v>
      </c>
      <c r="V119">
        <v>13832</v>
      </c>
      <c r="W119" t="b">
        <v>0</v>
      </c>
      <c r="X119">
        <v>0</v>
      </c>
      <c r="Y119" t="s">
        <v>255</v>
      </c>
      <c r="Z119" t="b">
        <v>1</v>
      </c>
      <c r="AA119" t="s">
        <v>213</v>
      </c>
      <c r="AB119">
        <v>170826030661</v>
      </c>
      <c r="AC119" t="s">
        <v>214</v>
      </c>
      <c r="AD119" t="s">
        <v>214</v>
      </c>
      <c r="AE119">
        <v>11</v>
      </c>
      <c r="AF119">
        <v>9</v>
      </c>
      <c r="AG119" t="s">
        <v>91</v>
      </c>
      <c r="AH119" t="s">
        <v>254</v>
      </c>
      <c r="AI119" t="s">
        <v>74</v>
      </c>
      <c r="AJ119" t="s">
        <v>75</v>
      </c>
      <c r="AK119" t="s">
        <v>76</v>
      </c>
      <c r="AL119" t="s">
        <v>215</v>
      </c>
      <c r="AM119" t="s">
        <v>78</v>
      </c>
      <c r="AN119" t="b">
        <v>1</v>
      </c>
      <c r="AO119">
        <v>1028</v>
      </c>
      <c r="AP119" t="s">
        <v>65</v>
      </c>
      <c r="AQ119" t="b">
        <v>1</v>
      </c>
      <c r="AR119">
        <v>0</v>
      </c>
      <c r="AS119">
        <v>0</v>
      </c>
      <c r="AT119">
        <v>0</v>
      </c>
      <c r="AU119">
        <v>0</v>
      </c>
      <c r="AV119">
        <v>0</v>
      </c>
      <c r="AW119" t="b">
        <v>0</v>
      </c>
      <c r="AX119" t="b">
        <v>0</v>
      </c>
      <c r="AY119" t="s">
        <v>79</v>
      </c>
      <c r="AZ119" t="b">
        <v>0</v>
      </c>
      <c r="BA119" t="s">
        <v>216</v>
      </c>
      <c r="BB119" t="s">
        <v>217</v>
      </c>
      <c r="BC119" t="s">
        <v>218</v>
      </c>
      <c r="BD119" t="b">
        <v>0</v>
      </c>
      <c r="BE119">
        <v>1000</v>
      </c>
      <c r="BF119" t="b">
        <v>0</v>
      </c>
    </row>
    <row r="120" spans="1:58" x14ac:dyDescent="0.25">
      <c r="A120">
        <v>4.2</v>
      </c>
      <c r="B120">
        <v>13</v>
      </c>
      <c r="C120" t="s">
        <v>288</v>
      </c>
      <c r="D120" t="s">
        <v>289</v>
      </c>
      <c r="E120">
        <v>0.78402777777777777</v>
      </c>
      <c r="F120" t="s">
        <v>290</v>
      </c>
      <c r="G120">
        <v>1</v>
      </c>
      <c r="K120" t="b">
        <v>1</v>
      </c>
      <c r="L120" t="s">
        <v>291</v>
      </c>
      <c r="M120">
        <v>3647062</v>
      </c>
      <c r="N120" t="s">
        <v>292</v>
      </c>
      <c r="O120">
        <v>1787735953000</v>
      </c>
      <c r="P120" t="s">
        <v>65</v>
      </c>
      <c r="S120" t="s">
        <v>191</v>
      </c>
      <c r="T120" t="s">
        <v>67</v>
      </c>
      <c r="U120" t="s">
        <v>99</v>
      </c>
      <c r="V120">
        <v>2884636</v>
      </c>
      <c r="W120" t="b">
        <v>0</v>
      </c>
      <c r="X120">
        <v>0</v>
      </c>
      <c r="Y120" t="s">
        <v>293</v>
      </c>
      <c r="Z120" t="b">
        <v>0</v>
      </c>
      <c r="AA120" t="s">
        <v>294</v>
      </c>
      <c r="AB120">
        <v>260826501368</v>
      </c>
      <c r="AC120" t="s">
        <v>295</v>
      </c>
      <c r="AD120" t="s">
        <v>295</v>
      </c>
      <c r="AE120">
        <v>10</v>
      </c>
      <c r="AF120">
        <v>5</v>
      </c>
      <c r="AG120" t="s">
        <v>73</v>
      </c>
      <c r="AH120" t="s">
        <v>191</v>
      </c>
      <c r="AI120" t="s">
        <v>74</v>
      </c>
      <c r="AJ120" t="s">
        <v>75</v>
      </c>
      <c r="AK120" t="s">
        <v>76</v>
      </c>
      <c r="AL120" t="s">
        <v>135</v>
      </c>
      <c r="AM120" t="s">
        <v>78</v>
      </c>
      <c r="AN120" t="b">
        <v>0</v>
      </c>
      <c r="AO120">
        <v>1028</v>
      </c>
      <c r="AP120" t="s">
        <v>65</v>
      </c>
      <c r="AQ120" t="b">
        <v>1</v>
      </c>
      <c r="AR120">
        <v>0</v>
      </c>
      <c r="AS120">
        <v>0</v>
      </c>
      <c r="AT120">
        <v>0</v>
      </c>
      <c r="AU120">
        <v>0</v>
      </c>
      <c r="AV120">
        <v>0</v>
      </c>
      <c r="AW120" t="b">
        <v>0</v>
      </c>
      <c r="AX120" t="b">
        <v>0</v>
      </c>
      <c r="AY120" t="s">
        <v>79</v>
      </c>
      <c r="AZ120" t="b">
        <v>0</v>
      </c>
      <c r="BA120" t="s">
        <v>296</v>
      </c>
      <c r="BB120" t="s">
        <v>297</v>
      </c>
      <c r="BC120" t="s">
        <v>298</v>
      </c>
      <c r="BD120" t="b">
        <v>0</v>
      </c>
      <c r="BF120" t="b">
        <v>0</v>
      </c>
    </row>
    <row r="121" spans="1:58" x14ac:dyDescent="0.25">
      <c r="A121">
        <v>3.7</v>
      </c>
      <c r="B121">
        <v>63625</v>
      </c>
      <c r="C121" t="s">
        <v>299</v>
      </c>
      <c r="D121" t="s">
        <v>300</v>
      </c>
      <c r="E121">
        <v>0.96805555555555556</v>
      </c>
      <c r="G121">
        <v>1</v>
      </c>
      <c r="H121">
        <v>8927</v>
      </c>
      <c r="K121" t="b">
        <v>0</v>
      </c>
      <c r="M121">
        <v>2114</v>
      </c>
      <c r="N121" t="s">
        <v>301</v>
      </c>
      <c r="O121">
        <v>1787751894286</v>
      </c>
      <c r="P121" t="s">
        <v>65</v>
      </c>
      <c r="S121" t="s">
        <v>147</v>
      </c>
      <c r="T121" t="s">
        <v>67</v>
      </c>
      <c r="U121" t="s">
        <v>87</v>
      </c>
      <c r="V121">
        <v>4156</v>
      </c>
      <c r="W121" t="b">
        <v>0</v>
      </c>
      <c r="X121">
        <v>0</v>
      </c>
      <c r="Y121" t="s">
        <v>302</v>
      </c>
      <c r="Z121" t="b">
        <v>1</v>
      </c>
      <c r="AA121" t="s">
        <v>303</v>
      </c>
      <c r="AB121">
        <v>260826030665</v>
      </c>
      <c r="AC121" t="s">
        <v>304</v>
      </c>
      <c r="AD121" t="s">
        <v>304</v>
      </c>
      <c r="AE121">
        <v>10</v>
      </c>
      <c r="AF121">
        <v>6</v>
      </c>
      <c r="AG121" t="s">
        <v>91</v>
      </c>
      <c r="AH121" t="s">
        <v>147</v>
      </c>
      <c r="AI121" t="s">
        <v>74</v>
      </c>
      <c r="AJ121" t="s">
        <v>75</v>
      </c>
      <c r="AK121" t="s">
        <v>76</v>
      </c>
      <c r="AL121" t="s">
        <v>305</v>
      </c>
      <c r="AM121" t="s">
        <v>78</v>
      </c>
      <c r="AN121" t="b">
        <v>0</v>
      </c>
      <c r="AO121">
        <v>1028</v>
      </c>
      <c r="AP121" t="s">
        <v>65</v>
      </c>
      <c r="AQ121" t="b">
        <v>1</v>
      </c>
      <c r="AR121">
        <v>0</v>
      </c>
      <c r="AS121">
        <v>0</v>
      </c>
      <c r="AT121">
        <v>0</v>
      </c>
      <c r="AU121">
        <v>0</v>
      </c>
      <c r="AV121">
        <v>0</v>
      </c>
      <c r="AW121" t="b">
        <v>0</v>
      </c>
      <c r="AX121" t="b">
        <v>0</v>
      </c>
      <c r="AY121" t="s">
        <v>79</v>
      </c>
      <c r="AZ121" t="b">
        <v>0</v>
      </c>
      <c r="BA121" t="s">
        <v>306</v>
      </c>
      <c r="BB121" t="s">
        <v>307</v>
      </c>
      <c r="BC121" t="s">
        <v>224</v>
      </c>
      <c r="BD121" t="b">
        <v>0</v>
      </c>
      <c r="BF121" t="b">
        <v>0</v>
      </c>
    </row>
    <row r="122" spans="1:58" x14ac:dyDescent="0.25">
      <c r="A122">
        <v>3.5</v>
      </c>
      <c r="B122">
        <v>50684</v>
      </c>
      <c r="C122" t="s">
        <v>205</v>
      </c>
      <c r="D122" t="s">
        <v>206</v>
      </c>
      <c r="E122">
        <v>0.56666666666666665</v>
      </c>
      <c r="G122">
        <v>1</v>
      </c>
      <c r="K122" t="b">
        <v>0</v>
      </c>
      <c r="M122">
        <v>124269780</v>
      </c>
      <c r="N122" t="s">
        <v>208</v>
      </c>
      <c r="O122">
        <v>1787025993463</v>
      </c>
      <c r="P122" t="s">
        <v>65</v>
      </c>
      <c r="S122" t="s">
        <v>191</v>
      </c>
      <c r="T122" t="s">
        <v>67</v>
      </c>
      <c r="U122" t="s">
        <v>219</v>
      </c>
      <c r="V122">
        <v>13832</v>
      </c>
      <c r="W122" t="b">
        <v>0</v>
      </c>
      <c r="X122">
        <v>0</v>
      </c>
      <c r="Y122" t="s">
        <v>220</v>
      </c>
      <c r="Z122" t="b">
        <v>1</v>
      </c>
      <c r="AA122" t="s">
        <v>221</v>
      </c>
      <c r="AB122">
        <v>180826009185</v>
      </c>
      <c r="AC122" t="s">
        <v>214</v>
      </c>
      <c r="AD122" t="s">
        <v>214</v>
      </c>
      <c r="AE122">
        <v>10</v>
      </c>
      <c r="AF122">
        <v>5</v>
      </c>
      <c r="AG122" t="s">
        <v>91</v>
      </c>
      <c r="AH122" t="s">
        <v>191</v>
      </c>
      <c r="AI122" t="s">
        <v>74</v>
      </c>
      <c r="AJ122" t="s">
        <v>75</v>
      </c>
      <c r="AK122" t="s">
        <v>76</v>
      </c>
      <c r="AL122" t="s">
        <v>222</v>
      </c>
      <c r="AM122" t="s">
        <v>78</v>
      </c>
      <c r="AN122" t="b">
        <v>1</v>
      </c>
      <c r="AO122">
        <v>1028</v>
      </c>
      <c r="AP122" t="s">
        <v>65</v>
      </c>
      <c r="AQ122" t="b">
        <v>1</v>
      </c>
      <c r="AR122">
        <v>0</v>
      </c>
      <c r="AS122">
        <v>0</v>
      </c>
      <c r="AT122">
        <v>0</v>
      </c>
      <c r="AU122">
        <v>0</v>
      </c>
      <c r="AV122">
        <v>0</v>
      </c>
      <c r="AW122" t="b">
        <v>0</v>
      </c>
      <c r="AX122" t="b">
        <v>0</v>
      </c>
      <c r="AY122" t="s">
        <v>79</v>
      </c>
      <c r="AZ122" t="b">
        <v>0</v>
      </c>
      <c r="BA122" t="s">
        <v>216</v>
      </c>
      <c r="BB122" t="s">
        <v>223</v>
      </c>
      <c r="BC122" t="s">
        <v>224</v>
      </c>
      <c r="BD122" t="b">
        <v>0</v>
      </c>
      <c r="BE122">
        <v>100</v>
      </c>
      <c r="BF122" t="b">
        <v>0</v>
      </c>
    </row>
    <row r="123" spans="1:58" x14ac:dyDescent="0.25">
      <c r="A123">
        <v>3.4</v>
      </c>
      <c r="B123">
        <v>47884</v>
      </c>
      <c r="C123" t="s">
        <v>83</v>
      </c>
      <c r="D123" t="s">
        <v>84</v>
      </c>
      <c r="E123">
        <v>0.62777777777777777</v>
      </c>
      <c r="G123">
        <v>1</v>
      </c>
      <c r="H123">
        <v>3730</v>
      </c>
      <c r="K123" t="b">
        <v>0</v>
      </c>
      <c r="M123">
        <v>2904476</v>
      </c>
      <c r="N123" t="s">
        <v>85</v>
      </c>
      <c r="O123">
        <v>1787808879920</v>
      </c>
      <c r="P123" t="s">
        <v>65</v>
      </c>
      <c r="S123" t="s">
        <v>86</v>
      </c>
      <c r="T123" t="s">
        <v>67</v>
      </c>
      <c r="U123" t="s">
        <v>87</v>
      </c>
      <c r="V123">
        <v>194354</v>
      </c>
      <c r="W123" t="b">
        <v>0</v>
      </c>
      <c r="X123">
        <v>0</v>
      </c>
      <c r="Y123" t="s">
        <v>88</v>
      </c>
      <c r="Z123" t="b">
        <v>1</v>
      </c>
      <c r="AA123" t="s">
        <v>89</v>
      </c>
      <c r="AB123">
        <v>270826010477</v>
      </c>
      <c r="AC123" t="s">
        <v>90</v>
      </c>
      <c r="AD123" t="s">
        <v>90</v>
      </c>
      <c r="AE123">
        <v>7</v>
      </c>
      <c r="AF123">
        <v>4</v>
      </c>
      <c r="AG123" t="s">
        <v>91</v>
      </c>
      <c r="AH123" t="s">
        <v>86</v>
      </c>
      <c r="AI123" t="s">
        <v>74</v>
      </c>
      <c r="AJ123" t="s">
        <v>75</v>
      </c>
      <c r="AK123" t="s">
        <v>76</v>
      </c>
      <c r="AL123" t="s">
        <v>92</v>
      </c>
      <c r="AM123" t="s">
        <v>78</v>
      </c>
      <c r="AN123" t="b">
        <v>1</v>
      </c>
      <c r="AO123">
        <v>1020</v>
      </c>
      <c r="AP123" t="s">
        <v>65</v>
      </c>
      <c r="AQ123" t="b">
        <v>1</v>
      </c>
      <c r="AR123">
        <v>0</v>
      </c>
      <c r="AS123">
        <v>0</v>
      </c>
      <c r="AT123">
        <v>0</v>
      </c>
      <c r="AU123">
        <v>0</v>
      </c>
      <c r="AV123">
        <v>0</v>
      </c>
      <c r="AW123" t="b">
        <v>0</v>
      </c>
      <c r="AX123" t="b">
        <v>0</v>
      </c>
      <c r="AY123" t="s">
        <v>79</v>
      </c>
      <c r="AZ123" t="b">
        <v>0</v>
      </c>
      <c r="BA123" t="s">
        <v>93</v>
      </c>
      <c r="BB123" t="s">
        <v>94</v>
      </c>
      <c r="BC123" t="s">
        <v>82</v>
      </c>
      <c r="BD123" t="b">
        <v>0</v>
      </c>
      <c r="BF123" t="b">
        <v>0</v>
      </c>
    </row>
    <row r="124" spans="1:58" x14ac:dyDescent="0.25">
      <c r="A124">
        <v>3.8</v>
      </c>
      <c r="B124">
        <v>717</v>
      </c>
      <c r="C124" t="s">
        <v>225</v>
      </c>
      <c r="D124" t="s">
        <v>226</v>
      </c>
      <c r="E124">
        <v>0.67569444444444449</v>
      </c>
      <c r="G124">
        <v>1</v>
      </c>
      <c r="K124" t="b">
        <v>0</v>
      </c>
      <c r="M124">
        <v>114714</v>
      </c>
      <c r="N124" t="s">
        <v>227</v>
      </c>
      <c r="O124">
        <v>1787294628965</v>
      </c>
      <c r="P124" t="s">
        <v>65</v>
      </c>
      <c r="S124" t="s">
        <v>191</v>
      </c>
      <c r="T124" t="s">
        <v>67</v>
      </c>
      <c r="U124" t="s">
        <v>228</v>
      </c>
      <c r="V124">
        <v>4586641</v>
      </c>
      <c r="W124" t="b">
        <v>0</v>
      </c>
      <c r="X124">
        <v>0</v>
      </c>
      <c r="Y124" t="s">
        <v>229</v>
      </c>
      <c r="Z124" t="b">
        <v>1</v>
      </c>
      <c r="AA124" t="s">
        <v>230</v>
      </c>
      <c r="AB124">
        <v>210826009532</v>
      </c>
      <c r="AC124" t="s">
        <v>231</v>
      </c>
      <c r="AD124" t="s">
        <v>231</v>
      </c>
      <c r="AE124">
        <v>10</v>
      </c>
      <c r="AF124">
        <v>5</v>
      </c>
      <c r="AG124" t="s">
        <v>91</v>
      </c>
      <c r="AH124" t="s">
        <v>191</v>
      </c>
      <c r="AI124" t="s">
        <v>74</v>
      </c>
      <c r="AJ124" t="s">
        <v>75</v>
      </c>
      <c r="AK124" t="s">
        <v>76</v>
      </c>
      <c r="AL124" t="s">
        <v>232</v>
      </c>
      <c r="AM124" t="s">
        <v>78</v>
      </c>
      <c r="AN124" t="b">
        <v>1</v>
      </c>
      <c r="AO124">
        <v>1082</v>
      </c>
      <c r="AP124" t="s">
        <v>65</v>
      </c>
      <c r="AQ124" t="b">
        <v>1</v>
      </c>
      <c r="AR124">
        <v>0</v>
      </c>
      <c r="AS124">
        <v>0</v>
      </c>
      <c r="AT124">
        <v>0</v>
      </c>
      <c r="AU124">
        <v>0</v>
      </c>
      <c r="AV124">
        <v>0</v>
      </c>
      <c r="AW124" t="b">
        <v>0</v>
      </c>
      <c r="AX124" t="b">
        <v>0</v>
      </c>
      <c r="AY124" t="s">
        <v>79</v>
      </c>
      <c r="AZ124" t="b">
        <v>0</v>
      </c>
      <c r="BA124" t="s">
        <v>233</v>
      </c>
      <c r="BB124" t="s">
        <v>234</v>
      </c>
      <c r="BC124" t="s">
        <v>82</v>
      </c>
      <c r="BD124" t="b">
        <v>0</v>
      </c>
      <c r="BF124" t="b">
        <v>0</v>
      </c>
    </row>
    <row r="125" spans="1:58" x14ac:dyDescent="0.25">
      <c r="A125">
        <v>2.8</v>
      </c>
      <c r="B125">
        <v>98</v>
      </c>
      <c r="C125" t="s">
        <v>235</v>
      </c>
      <c r="D125" t="s">
        <v>236</v>
      </c>
      <c r="E125">
        <v>0.65069444444444446</v>
      </c>
      <c r="G125">
        <v>1</v>
      </c>
      <c r="H125">
        <v>16255</v>
      </c>
      <c r="K125" t="b">
        <v>0</v>
      </c>
      <c r="M125">
        <v>4804684</v>
      </c>
      <c r="N125" t="s">
        <v>237</v>
      </c>
      <c r="O125">
        <v>1787638049264</v>
      </c>
      <c r="P125" t="s">
        <v>65</v>
      </c>
      <c r="S125" t="s">
        <v>238</v>
      </c>
      <c r="T125" t="s">
        <v>67</v>
      </c>
      <c r="U125" t="s">
        <v>239</v>
      </c>
      <c r="V125">
        <v>4582011</v>
      </c>
      <c r="W125" t="b">
        <v>0</v>
      </c>
      <c r="X125">
        <v>0</v>
      </c>
      <c r="Y125" t="s">
        <v>240</v>
      </c>
      <c r="Z125" t="b">
        <v>1</v>
      </c>
      <c r="AA125" t="s">
        <v>241</v>
      </c>
      <c r="AB125">
        <v>250826012754</v>
      </c>
      <c r="AC125" t="s">
        <v>242</v>
      </c>
      <c r="AD125" t="s">
        <v>242</v>
      </c>
      <c r="AE125">
        <v>5</v>
      </c>
      <c r="AF125">
        <v>2</v>
      </c>
      <c r="AG125" t="s">
        <v>91</v>
      </c>
      <c r="AH125" t="s">
        <v>238</v>
      </c>
      <c r="AI125" t="s">
        <v>74</v>
      </c>
      <c r="AJ125" t="s">
        <v>75</v>
      </c>
      <c r="AK125" t="s">
        <v>76</v>
      </c>
      <c r="AL125" t="s">
        <v>135</v>
      </c>
      <c r="AM125" t="s">
        <v>78</v>
      </c>
      <c r="AN125" t="b">
        <v>1</v>
      </c>
      <c r="AO125">
        <v>1045</v>
      </c>
      <c r="AP125" t="s">
        <v>65</v>
      </c>
      <c r="AQ125" t="b">
        <v>1</v>
      </c>
      <c r="AR125">
        <v>0</v>
      </c>
      <c r="AS125">
        <v>0</v>
      </c>
      <c r="AT125">
        <v>0</v>
      </c>
      <c r="AU125">
        <v>0</v>
      </c>
      <c r="AV125">
        <v>0</v>
      </c>
      <c r="AW125" t="b">
        <v>0</v>
      </c>
      <c r="AX125" t="b">
        <v>0</v>
      </c>
      <c r="AY125" t="s">
        <v>79</v>
      </c>
      <c r="AZ125" t="b">
        <v>0</v>
      </c>
      <c r="BA125" t="s">
        <v>243</v>
      </c>
      <c r="BB125" t="s">
        <v>244</v>
      </c>
      <c r="BC125" t="s">
        <v>82</v>
      </c>
      <c r="BD125" t="b">
        <v>0</v>
      </c>
      <c r="BF125" t="b">
        <v>0</v>
      </c>
    </row>
    <row r="126" spans="1:58" x14ac:dyDescent="0.25">
      <c r="A126">
        <v>3.9</v>
      </c>
      <c r="B126">
        <v>4437</v>
      </c>
      <c r="C126" t="s">
        <v>245</v>
      </c>
      <c r="D126" t="s">
        <v>246</v>
      </c>
      <c r="E126">
        <v>0.89583333333333337</v>
      </c>
      <c r="G126">
        <v>1</v>
      </c>
      <c r="K126" t="b">
        <v>0</v>
      </c>
      <c r="M126">
        <v>3974784</v>
      </c>
      <c r="N126" t="s">
        <v>247</v>
      </c>
      <c r="O126">
        <v>1787659232918</v>
      </c>
      <c r="P126" t="s">
        <v>65</v>
      </c>
      <c r="S126" t="s">
        <v>181</v>
      </c>
      <c r="T126" t="s">
        <v>67</v>
      </c>
      <c r="U126" t="s">
        <v>239</v>
      </c>
      <c r="V126">
        <v>4608615</v>
      </c>
      <c r="W126" t="b">
        <v>0</v>
      </c>
      <c r="X126">
        <v>0</v>
      </c>
      <c r="Y126" t="s">
        <v>248</v>
      </c>
      <c r="Z126" t="b">
        <v>1</v>
      </c>
      <c r="AA126" t="s">
        <v>249</v>
      </c>
      <c r="AB126">
        <v>170426013396</v>
      </c>
      <c r="AC126" t="s">
        <v>250</v>
      </c>
      <c r="AD126" t="s">
        <v>250</v>
      </c>
      <c r="AE126">
        <v>7</v>
      </c>
      <c r="AF126">
        <v>3</v>
      </c>
      <c r="AG126" t="s">
        <v>91</v>
      </c>
      <c r="AH126" t="s">
        <v>181</v>
      </c>
      <c r="AI126" t="s">
        <v>74</v>
      </c>
      <c r="AJ126" t="s">
        <v>75</v>
      </c>
      <c r="AK126" t="s">
        <v>76</v>
      </c>
      <c r="AL126" t="s">
        <v>251</v>
      </c>
      <c r="AM126" t="s">
        <v>78</v>
      </c>
      <c r="AN126" t="b">
        <v>1</v>
      </c>
      <c r="AO126">
        <v>1019</v>
      </c>
      <c r="AP126" t="s">
        <v>65</v>
      </c>
      <c r="AQ126" t="b">
        <v>1</v>
      </c>
      <c r="AR126">
        <v>0</v>
      </c>
      <c r="AS126">
        <v>0</v>
      </c>
      <c r="AT126">
        <v>0</v>
      </c>
      <c r="AU126">
        <v>0</v>
      </c>
      <c r="AV126">
        <v>0</v>
      </c>
      <c r="AW126" t="b">
        <v>0</v>
      </c>
      <c r="AX126" t="b">
        <v>0</v>
      </c>
      <c r="AY126" t="s">
        <v>79</v>
      </c>
      <c r="AZ126" t="b">
        <v>0</v>
      </c>
      <c r="BA126" t="s">
        <v>252</v>
      </c>
      <c r="BB126" t="s">
        <v>253</v>
      </c>
      <c r="BC126" t="s">
        <v>224</v>
      </c>
      <c r="BD126" t="b">
        <v>0</v>
      </c>
      <c r="BE126">
        <v>3</v>
      </c>
      <c r="BF126" t="b">
        <v>0</v>
      </c>
    </row>
    <row r="127" spans="1:58" x14ac:dyDescent="0.25">
      <c r="A127">
        <v>3.2</v>
      </c>
      <c r="B127">
        <v>118481</v>
      </c>
      <c r="C127" t="s">
        <v>144</v>
      </c>
      <c r="D127" t="s">
        <v>145</v>
      </c>
      <c r="E127">
        <v>0.8208333333333333</v>
      </c>
      <c r="G127">
        <v>1</v>
      </c>
      <c r="H127">
        <v>2949</v>
      </c>
      <c r="K127" t="b">
        <v>0</v>
      </c>
      <c r="M127">
        <v>892542</v>
      </c>
      <c r="N127" t="s">
        <v>146</v>
      </c>
      <c r="O127">
        <v>1787911934859</v>
      </c>
      <c r="P127" t="s">
        <v>65</v>
      </c>
      <c r="S127" t="s">
        <v>147</v>
      </c>
      <c r="T127" t="s">
        <v>67</v>
      </c>
      <c r="U127" t="s">
        <v>119</v>
      </c>
      <c r="V127">
        <v>223346</v>
      </c>
      <c r="W127" t="b">
        <v>0</v>
      </c>
      <c r="X127">
        <v>0</v>
      </c>
      <c r="Y127" t="s">
        <v>148</v>
      </c>
      <c r="Z127" t="b">
        <v>1</v>
      </c>
      <c r="AA127" t="s">
        <v>149</v>
      </c>
      <c r="AB127">
        <v>280826008430</v>
      </c>
      <c r="AC127" t="s">
        <v>150</v>
      </c>
      <c r="AD127" t="s">
        <v>150</v>
      </c>
      <c r="AE127">
        <v>10</v>
      </c>
      <c r="AF127">
        <v>6</v>
      </c>
      <c r="AG127" t="s">
        <v>91</v>
      </c>
      <c r="AH127" t="s">
        <v>147</v>
      </c>
      <c r="AI127" t="s">
        <v>74</v>
      </c>
      <c r="AJ127" t="s">
        <v>75</v>
      </c>
      <c r="AK127" t="s">
        <v>76</v>
      </c>
      <c r="AL127" t="s">
        <v>151</v>
      </c>
      <c r="AM127" t="s">
        <v>78</v>
      </c>
      <c r="AN127" t="b">
        <v>0</v>
      </c>
      <c r="AO127">
        <v>1019</v>
      </c>
      <c r="AP127" t="s">
        <v>65</v>
      </c>
      <c r="AQ127" t="b">
        <v>1</v>
      </c>
      <c r="AR127">
        <v>0</v>
      </c>
      <c r="AS127">
        <v>0</v>
      </c>
      <c r="AT127">
        <v>0</v>
      </c>
      <c r="AU127">
        <v>0</v>
      </c>
      <c r="AV127">
        <v>0</v>
      </c>
      <c r="AW127" t="b">
        <v>0</v>
      </c>
      <c r="AX127" t="b">
        <v>0</v>
      </c>
      <c r="AY127" t="s">
        <v>79</v>
      </c>
      <c r="AZ127" t="b">
        <v>0</v>
      </c>
      <c r="BA127" t="s">
        <v>152</v>
      </c>
      <c r="BB127" t="s">
        <v>153</v>
      </c>
      <c r="BC127" t="s">
        <v>82</v>
      </c>
      <c r="BD127" t="b">
        <v>0</v>
      </c>
      <c r="BF127" t="b">
        <v>0</v>
      </c>
    </row>
    <row r="128" spans="1:58" x14ac:dyDescent="0.25">
      <c r="A128">
        <v>3.5</v>
      </c>
      <c r="B128">
        <v>50684</v>
      </c>
      <c r="C128" t="s">
        <v>205</v>
      </c>
      <c r="D128" t="s">
        <v>206</v>
      </c>
      <c r="E128">
        <v>0.90694444444444444</v>
      </c>
      <c r="G128">
        <v>1</v>
      </c>
      <c r="I128">
        <v>1</v>
      </c>
      <c r="J128" t="s">
        <v>207</v>
      </c>
      <c r="K128" t="b">
        <v>0</v>
      </c>
      <c r="M128">
        <v>124269780</v>
      </c>
      <c r="N128" t="s">
        <v>208</v>
      </c>
      <c r="O128">
        <v>1787573805796</v>
      </c>
      <c r="P128" t="s">
        <v>65</v>
      </c>
      <c r="Q128" t="s">
        <v>209</v>
      </c>
      <c r="R128" t="b">
        <v>0</v>
      </c>
      <c r="S128" t="s">
        <v>210</v>
      </c>
      <c r="T128" t="s">
        <v>67</v>
      </c>
      <c r="U128" t="s">
        <v>211</v>
      </c>
      <c r="V128">
        <v>13832</v>
      </c>
      <c r="W128" t="b">
        <v>0</v>
      </c>
      <c r="X128">
        <v>0</v>
      </c>
      <c r="Y128" t="s">
        <v>212</v>
      </c>
      <c r="Z128" t="b">
        <v>0</v>
      </c>
      <c r="AA128" t="s">
        <v>213</v>
      </c>
      <c r="AB128">
        <v>170826004896</v>
      </c>
      <c r="AC128" t="s">
        <v>214</v>
      </c>
      <c r="AD128" t="s">
        <v>214</v>
      </c>
      <c r="AE128">
        <v>8</v>
      </c>
      <c r="AF128">
        <v>5</v>
      </c>
      <c r="AG128" t="s">
        <v>91</v>
      </c>
      <c r="AH128" t="s">
        <v>210</v>
      </c>
      <c r="AI128" t="s">
        <v>74</v>
      </c>
      <c r="AJ128" t="s">
        <v>75</v>
      </c>
      <c r="AK128" t="s">
        <v>76</v>
      </c>
      <c r="AL128" t="s">
        <v>215</v>
      </c>
      <c r="AM128" t="s">
        <v>78</v>
      </c>
      <c r="AN128" t="b">
        <v>1</v>
      </c>
      <c r="AO128">
        <v>1028</v>
      </c>
      <c r="AP128" t="s">
        <v>65</v>
      </c>
      <c r="AQ128" t="b">
        <v>1</v>
      </c>
      <c r="AR128">
        <v>0</v>
      </c>
      <c r="AS128">
        <v>0</v>
      </c>
      <c r="AT128">
        <v>0</v>
      </c>
      <c r="AU128">
        <v>0</v>
      </c>
      <c r="AV128">
        <v>0</v>
      </c>
      <c r="AW128" t="b">
        <v>0</v>
      </c>
      <c r="AX128" t="b">
        <v>0</v>
      </c>
      <c r="AY128" t="s">
        <v>79</v>
      </c>
      <c r="AZ128" t="b">
        <v>0</v>
      </c>
      <c r="BA128" t="s">
        <v>216</v>
      </c>
      <c r="BB128" t="s">
        <v>217</v>
      </c>
      <c r="BC128" t="s">
        <v>218</v>
      </c>
      <c r="BD128" t="b">
        <v>0</v>
      </c>
      <c r="BE128">
        <v>1000</v>
      </c>
      <c r="BF128" t="b">
        <v>0</v>
      </c>
    </row>
    <row r="129" spans="1:58" x14ac:dyDescent="0.25">
      <c r="A129">
        <v>3.5</v>
      </c>
      <c r="B129">
        <v>50684</v>
      </c>
      <c r="C129" t="s">
        <v>205</v>
      </c>
      <c r="D129" t="s">
        <v>206</v>
      </c>
      <c r="E129">
        <v>0.90694444444444444</v>
      </c>
      <c r="G129">
        <v>1</v>
      </c>
      <c r="K129" t="b">
        <v>0</v>
      </c>
      <c r="M129">
        <v>124269780</v>
      </c>
      <c r="N129" t="s">
        <v>208</v>
      </c>
      <c r="O129">
        <v>1787573809755</v>
      </c>
      <c r="P129" t="s">
        <v>65</v>
      </c>
      <c r="S129" t="s">
        <v>254</v>
      </c>
      <c r="T129" t="s">
        <v>67</v>
      </c>
      <c r="U129" t="s">
        <v>211</v>
      </c>
      <c r="V129">
        <v>13832</v>
      </c>
      <c r="W129" t="b">
        <v>0</v>
      </c>
      <c r="X129">
        <v>0</v>
      </c>
      <c r="Y129" t="s">
        <v>255</v>
      </c>
      <c r="Z129" t="b">
        <v>1</v>
      </c>
      <c r="AA129" t="s">
        <v>213</v>
      </c>
      <c r="AB129">
        <v>170826030661</v>
      </c>
      <c r="AC129" t="s">
        <v>214</v>
      </c>
      <c r="AD129" t="s">
        <v>214</v>
      </c>
      <c r="AE129">
        <v>11</v>
      </c>
      <c r="AF129">
        <v>9</v>
      </c>
      <c r="AG129" t="s">
        <v>91</v>
      </c>
      <c r="AH129" t="s">
        <v>254</v>
      </c>
      <c r="AI129" t="s">
        <v>74</v>
      </c>
      <c r="AJ129" t="s">
        <v>75</v>
      </c>
      <c r="AK129" t="s">
        <v>76</v>
      </c>
      <c r="AL129" t="s">
        <v>215</v>
      </c>
      <c r="AM129" t="s">
        <v>78</v>
      </c>
      <c r="AN129" t="b">
        <v>1</v>
      </c>
      <c r="AO129">
        <v>1028</v>
      </c>
      <c r="AP129" t="s">
        <v>65</v>
      </c>
      <c r="AQ129" t="b">
        <v>1</v>
      </c>
      <c r="AR129">
        <v>0</v>
      </c>
      <c r="AS129">
        <v>0</v>
      </c>
      <c r="AT129">
        <v>0</v>
      </c>
      <c r="AU129">
        <v>0</v>
      </c>
      <c r="AV129">
        <v>0</v>
      </c>
      <c r="AW129" t="b">
        <v>0</v>
      </c>
      <c r="AX129" t="b">
        <v>0</v>
      </c>
      <c r="AY129" t="s">
        <v>79</v>
      </c>
      <c r="AZ129" t="b">
        <v>0</v>
      </c>
      <c r="BA129" t="s">
        <v>216</v>
      </c>
      <c r="BB129" t="s">
        <v>217</v>
      </c>
      <c r="BC129" t="s">
        <v>218</v>
      </c>
      <c r="BD129" t="b">
        <v>0</v>
      </c>
      <c r="BE129">
        <v>1000</v>
      </c>
      <c r="BF129" t="b">
        <v>0</v>
      </c>
    </row>
    <row r="130" spans="1:58" x14ac:dyDescent="0.25">
      <c r="A130">
        <v>3.6</v>
      </c>
      <c r="B130">
        <v>27553</v>
      </c>
      <c r="C130" t="s">
        <v>256</v>
      </c>
      <c r="D130" t="s">
        <v>257</v>
      </c>
      <c r="E130">
        <v>0.62916666666666665</v>
      </c>
      <c r="G130">
        <v>1</v>
      </c>
      <c r="K130" t="b">
        <v>0</v>
      </c>
      <c r="M130">
        <v>124141072</v>
      </c>
      <c r="N130" t="s">
        <v>258</v>
      </c>
      <c r="O130">
        <v>1787808986220</v>
      </c>
      <c r="P130" t="s">
        <v>65</v>
      </c>
      <c r="S130" t="s">
        <v>259</v>
      </c>
      <c r="T130" t="s">
        <v>67</v>
      </c>
      <c r="U130" t="s">
        <v>87</v>
      </c>
      <c r="V130">
        <v>7519247</v>
      </c>
      <c r="W130" t="b">
        <v>0</v>
      </c>
      <c r="X130">
        <v>0</v>
      </c>
      <c r="Y130" t="s">
        <v>260</v>
      </c>
      <c r="Z130" t="b">
        <v>1</v>
      </c>
      <c r="AA130" t="s">
        <v>261</v>
      </c>
      <c r="AB130">
        <v>270826010600</v>
      </c>
      <c r="AC130" t="s">
        <v>262</v>
      </c>
      <c r="AD130" t="s">
        <v>262</v>
      </c>
      <c r="AE130">
        <v>11</v>
      </c>
      <c r="AF130">
        <v>6</v>
      </c>
      <c r="AG130" t="s">
        <v>91</v>
      </c>
      <c r="AH130" t="s">
        <v>259</v>
      </c>
      <c r="AI130" t="s">
        <v>74</v>
      </c>
      <c r="AJ130" t="s">
        <v>263</v>
      </c>
      <c r="AK130" t="s">
        <v>76</v>
      </c>
      <c r="AL130" t="s">
        <v>264</v>
      </c>
      <c r="AM130" t="s">
        <v>78</v>
      </c>
      <c r="AN130" t="b">
        <v>1</v>
      </c>
      <c r="AO130">
        <v>1019</v>
      </c>
      <c r="AP130" t="s">
        <v>65</v>
      </c>
      <c r="AQ130" t="b">
        <v>0</v>
      </c>
      <c r="AS130">
        <v>2000000</v>
      </c>
      <c r="AU130">
        <v>1000000</v>
      </c>
      <c r="AV130">
        <v>0</v>
      </c>
      <c r="AW130" t="b">
        <v>0</v>
      </c>
      <c r="AX130" t="b">
        <v>0</v>
      </c>
      <c r="AY130" t="s">
        <v>79</v>
      </c>
      <c r="AZ130" t="b">
        <v>0</v>
      </c>
      <c r="BA130" t="s">
        <v>265</v>
      </c>
      <c r="BB130" t="s">
        <v>266</v>
      </c>
      <c r="BC130" t="s">
        <v>82</v>
      </c>
      <c r="BD130" t="b">
        <v>0</v>
      </c>
      <c r="BE130">
        <v>20</v>
      </c>
      <c r="BF130" t="b">
        <v>0</v>
      </c>
    </row>
    <row r="131" spans="1:58" x14ac:dyDescent="0.25">
      <c r="A131">
        <v>3.5</v>
      </c>
      <c r="B131">
        <v>50684</v>
      </c>
      <c r="C131" t="s">
        <v>205</v>
      </c>
      <c r="D131" t="s">
        <v>206</v>
      </c>
      <c r="E131">
        <v>0.90694444444444444</v>
      </c>
      <c r="G131">
        <v>1</v>
      </c>
      <c r="K131" t="b">
        <v>0</v>
      </c>
      <c r="M131">
        <v>124269780</v>
      </c>
      <c r="N131" t="s">
        <v>208</v>
      </c>
      <c r="O131">
        <v>1787573816905</v>
      </c>
      <c r="P131" t="s">
        <v>65</v>
      </c>
      <c r="S131" t="s">
        <v>267</v>
      </c>
      <c r="T131" t="s">
        <v>67</v>
      </c>
      <c r="U131" t="s">
        <v>211</v>
      </c>
      <c r="V131">
        <v>13832</v>
      </c>
      <c r="W131" t="b">
        <v>0</v>
      </c>
      <c r="X131">
        <v>0</v>
      </c>
      <c r="Y131" t="s">
        <v>268</v>
      </c>
      <c r="Z131" t="b">
        <v>1</v>
      </c>
      <c r="AA131" t="s">
        <v>213</v>
      </c>
      <c r="AB131">
        <v>170826030591</v>
      </c>
      <c r="AC131" t="s">
        <v>214</v>
      </c>
      <c r="AD131" t="s">
        <v>214</v>
      </c>
      <c r="AE131">
        <v>9</v>
      </c>
      <c r="AF131">
        <v>7</v>
      </c>
      <c r="AG131" t="s">
        <v>91</v>
      </c>
      <c r="AH131" t="s">
        <v>267</v>
      </c>
      <c r="AI131" t="s">
        <v>74</v>
      </c>
      <c r="AJ131" t="s">
        <v>75</v>
      </c>
      <c r="AK131" t="s">
        <v>76</v>
      </c>
      <c r="AL131" t="s">
        <v>215</v>
      </c>
      <c r="AM131" t="s">
        <v>78</v>
      </c>
      <c r="AN131" t="b">
        <v>1</v>
      </c>
      <c r="AO131">
        <v>1028</v>
      </c>
      <c r="AP131" t="s">
        <v>65</v>
      </c>
      <c r="AQ131" t="b">
        <v>1</v>
      </c>
      <c r="AR131">
        <v>0</v>
      </c>
      <c r="AS131">
        <v>0</v>
      </c>
      <c r="AT131">
        <v>0</v>
      </c>
      <c r="AU131">
        <v>0</v>
      </c>
      <c r="AV131">
        <v>0</v>
      </c>
      <c r="AW131" t="b">
        <v>0</v>
      </c>
      <c r="AX131" t="b">
        <v>0</v>
      </c>
      <c r="AY131" t="s">
        <v>79</v>
      </c>
      <c r="AZ131" t="b">
        <v>0</v>
      </c>
      <c r="BA131" t="s">
        <v>216</v>
      </c>
      <c r="BB131" t="s">
        <v>217</v>
      </c>
      <c r="BC131" t="s">
        <v>218</v>
      </c>
      <c r="BD131" t="b">
        <v>0</v>
      </c>
      <c r="BE131">
        <v>1000</v>
      </c>
      <c r="BF131" t="b">
        <v>0</v>
      </c>
    </row>
    <row r="132" spans="1:58" x14ac:dyDescent="0.25">
      <c r="A132">
        <v>3.5</v>
      </c>
      <c r="B132">
        <v>50684</v>
      </c>
      <c r="C132" t="s">
        <v>205</v>
      </c>
      <c r="D132" t="s">
        <v>206</v>
      </c>
      <c r="E132">
        <v>0.56666666666666665</v>
      </c>
      <c r="G132">
        <v>1</v>
      </c>
      <c r="K132" t="b">
        <v>0</v>
      </c>
      <c r="M132">
        <v>124269780</v>
      </c>
      <c r="N132" t="s">
        <v>208</v>
      </c>
      <c r="O132">
        <v>1787025993463</v>
      </c>
      <c r="P132" t="s">
        <v>65</v>
      </c>
      <c r="S132" t="s">
        <v>191</v>
      </c>
      <c r="T132" t="s">
        <v>67</v>
      </c>
      <c r="U132" t="s">
        <v>219</v>
      </c>
      <c r="V132">
        <v>13832</v>
      </c>
      <c r="W132" t="b">
        <v>0</v>
      </c>
      <c r="X132">
        <v>0</v>
      </c>
      <c r="Y132" t="s">
        <v>220</v>
      </c>
      <c r="Z132" t="b">
        <v>1</v>
      </c>
      <c r="AA132" t="s">
        <v>221</v>
      </c>
      <c r="AB132">
        <v>180826009185</v>
      </c>
      <c r="AC132" t="s">
        <v>214</v>
      </c>
      <c r="AD132" t="s">
        <v>214</v>
      </c>
      <c r="AE132">
        <v>10</v>
      </c>
      <c r="AF132">
        <v>5</v>
      </c>
      <c r="AG132" t="s">
        <v>91</v>
      </c>
      <c r="AH132" t="s">
        <v>191</v>
      </c>
      <c r="AI132" t="s">
        <v>74</v>
      </c>
      <c r="AJ132" t="s">
        <v>75</v>
      </c>
      <c r="AK132" t="s">
        <v>76</v>
      </c>
      <c r="AL132" t="s">
        <v>222</v>
      </c>
      <c r="AM132" t="s">
        <v>78</v>
      </c>
      <c r="AN132" t="b">
        <v>1</v>
      </c>
      <c r="AO132">
        <v>1028</v>
      </c>
      <c r="AP132" t="s">
        <v>65</v>
      </c>
      <c r="AQ132" t="b">
        <v>1</v>
      </c>
      <c r="AR132">
        <v>0</v>
      </c>
      <c r="AS132">
        <v>0</v>
      </c>
      <c r="AT132">
        <v>0</v>
      </c>
      <c r="AU132">
        <v>0</v>
      </c>
      <c r="AV132">
        <v>0</v>
      </c>
      <c r="AW132" t="b">
        <v>0</v>
      </c>
      <c r="AX132" t="b">
        <v>0</v>
      </c>
      <c r="AY132" t="s">
        <v>79</v>
      </c>
      <c r="AZ132" t="b">
        <v>0</v>
      </c>
      <c r="BA132" t="s">
        <v>216</v>
      </c>
      <c r="BB132" t="s">
        <v>223</v>
      </c>
      <c r="BC132" t="s">
        <v>224</v>
      </c>
      <c r="BD132" t="b">
        <v>0</v>
      </c>
      <c r="BE132">
        <v>100</v>
      </c>
      <c r="BF132" t="b">
        <v>0</v>
      </c>
    </row>
    <row r="133" spans="1:58" x14ac:dyDescent="0.25">
      <c r="A133">
        <v>3.4</v>
      </c>
      <c r="B133">
        <v>47884</v>
      </c>
      <c r="C133" t="s">
        <v>83</v>
      </c>
      <c r="D133" t="s">
        <v>84</v>
      </c>
      <c r="E133">
        <v>0.62777777777777777</v>
      </c>
      <c r="G133">
        <v>1</v>
      </c>
      <c r="H133">
        <v>3730</v>
      </c>
      <c r="K133" t="b">
        <v>0</v>
      </c>
      <c r="M133">
        <v>2904476</v>
      </c>
      <c r="N133" t="s">
        <v>85</v>
      </c>
      <c r="O133">
        <v>1787808879920</v>
      </c>
      <c r="P133" t="s">
        <v>65</v>
      </c>
      <c r="S133" t="s">
        <v>86</v>
      </c>
      <c r="T133" t="s">
        <v>67</v>
      </c>
      <c r="U133" t="s">
        <v>87</v>
      </c>
      <c r="V133">
        <v>194354</v>
      </c>
      <c r="W133" t="b">
        <v>0</v>
      </c>
      <c r="X133">
        <v>0</v>
      </c>
      <c r="Y133" t="s">
        <v>88</v>
      </c>
      <c r="Z133" t="b">
        <v>1</v>
      </c>
      <c r="AA133" t="s">
        <v>89</v>
      </c>
      <c r="AB133">
        <v>270826010477</v>
      </c>
      <c r="AC133" t="s">
        <v>90</v>
      </c>
      <c r="AD133" t="s">
        <v>90</v>
      </c>
      <c r="AE133">
        <v>7</v>
      </c>
      <c r="AF133">
        <v>4</v>
      </c>
      <c r="AG133" t="s">
        <v>91</v>
      </c>
      <c r="AH133" t="s">
        <v>86</v>
      </c>
      <c r="AI133" t="s">
        <v>74</v>
      </c>
      <c r="AJ133" t="s">
        <v>75</v>
      </c>
      <c r="AK133" t="s">
        <v>76</v>
      </c>
      <c r="AL133" t="s">
        <v>92</v>
      </c>
      <c r="AM133" t="s">
        <v>78</v>
      </c>
      <c r="AN133" t="b">
        <v>1</v>
      </c>
      <c r="AO133">
        <v>1020</v>
      </c>
      <c r="AP133" t="s">
        <v>65</v>
      </c>
      <c r="AQ133" t="b">
        <v>1</v>
      </c>
      <c r="AR133">
        <v>0</v>
      </c>
      <c r="AS133">
        <v>0</v>
      </c>
      <c r="AT133">
        <v>0</v>
      </c>
      <c r="AU133">
        <v>0</v>
      </c>
      <c r="AV133">
        <v>0</v>
      </c>
      <c r="AW133" t="b">
        <v>0</v>
      </c>
      <c r="AX133" t="b">
        <v>0</v>
      </c>
      <c r="AY133" t="s">
        <v>79</v>
      </c>
      <c r="AZ133" t="b">
        <v>0</v>
      </c>
      <c r="BA133" t="s">
        <v>93</v>
      </c>
      <c r="BB133" t="s">
        <v>94</v>
      </c>
      <c r="BC133" t="s">
        <v>82</v>
      </c>
      <c r="BD133" t="b">
        <v>0</v>
      </c>
      <c r="BF133" t="b">
        <v>0</v>
      </c>
    </row>
    <row r="134" spans="1:58" x14ac:dyDescent="0.25">
      <c r="A134">
        <v>3.8</v>
      </c>
      <c r="B134">
        <v>717</v>
      </c>
      <c r="C134" t="s">
        <v>225</v>
      </c>
      <c r="D134" t="s">
        <v>226</v>
      </c>
      <c r="E134">
        <v>0.67569444444444449</v>
      </c>
      <c r="G134">
        <v>1</v>
      </c>
      <c r="K134" t="b">
        <v>0</v>
      </c>
      <c r="M134">
        <v>114714</v>
      </c>
      <c r="N134" t="s">
        <v>227</v>
      </c>
      <c r="O134">
        <v>1787294628965</v>
      </c>
      <c r="P134" t="s">
        <v>65</v>
      </c>
      <c r="S134" t="s">
        <v>191</v>
      </c>
      <c r="T134" t="s">
        <v>67</v>
      </c>
      <c r="U134" t="s">
        <v>228</v>
      </c>
      <c r="V134">
        <v>4586641</v>
      </c>
      <c r="W134" t="b">
        <v>0</v>
      </c>
      <c r="X134">
        <v>0</v>
      </c>
      <c r="Y134" t="s">
        <v>229</v>
      </c>
      <c r="Z134" t="b">
        <v>1</v>
      </c>
      <c r="AA134" t="s">
        <v>230</v>
      </c>
      <c r="AB134">
        <v>210826009532</v>
      </c>
      <c r="AC134" t="s">
        <v>231</v>
      </c>
      <c r="AD134" t="s">
        <v>231</v>
      </c>
      <c r="AE134">
        <v>10</v>
      </c>
      <c r="AF134">
        <v>5</v>
      </c>
      <c r="AG134" t="s">
        <v>91</v>
      </c>
      <c r="AH134" t="s">
        <v>191</v>
      </c>
      <c r="AI134" t="s">
        <v>74</v>
      </c>
      <c r="AJ134" t="s">
        <v>75</v>
      </c>
      <c r="AK134" t="s">
        <v>76</v>
      </c>
      <c r="AL134" t="s">
        <v>232</v>
      </c>
      <c r="AM134" t="s">
        <v>78</v>
      </c>
      <c r="AN134" t="b">
        <v>1</v>
      </c>
      <c r="AO134">
        <v>1082</v>
      </c>
      <c r="AP134" t="s">
        <v>65</v>
      </c>
      <c r="AQ134" t="b">
        <v>1</v>
      </c>
      <c r="AR134">
        <v>0</v>
      </c>
      <c r="AS134">
        <v>0</v>
      </c>
      <c r="AT134">
        <v>0</v>
      </c>
      <c r="AU134">
        <v>0</v>
      </c>
      <c r="AV134">
        <v>0</v>
      </c>
      <c r="AW134" t="b">
        <v>0</v>
      </c>
      <c r="AX134" t="b">
        <v>0</v>
      </c>
      <c r="AY134" t="s">
        <v>79</v>
      </c>
      <c r="AZ134" t="b">
        <v>0</v>
      </c>
      <c r="BA134" t="s">
        <v>233</v>
      </c>
      <c r="BB134" t="s">
        <v>234</v>
      </c>
      <c r="BC134" t="s">
        <v>82</v>
      </c>
      <c r="BD134" t="b">
        <v>0</v>
      </c>
      <c r="BF134" t="b">
        <v>0</v>
      </c>
    </row>
    <row r="135" spans="1:58" x14ac:dyDescent="0.25">
      <c r="A135">
        <v>2.8</v>
      </c>
      <c r="B135">
        <v>98</v>
      </c>
      <c r="C135" t="s">
        <v>235</v>
      </c>
      <c r="D135" t="s">
        <v>236</v>
      </c>
      <c r="E135">
        <v>0.65069444444444446</v>
      </c>
      <c r="G135">
        <v>1</v>
      </c>
      <c r="H135">
        <v>16255</v>
      </c>
      <c r="K135" t="b">
        <v>0</v>
      </c>
      <c r="M135">
        <v>4804684</v>
      </c>
      <c r="N135" t="s">
        <v>237</v>
      </c>
      <c r="O135">
        <v>1787638049264</v>
      </c>
      <c r="P135" t="s">
        <v>65</v>
      </c>
      <c r="S135" t="s">
        <v>238</v>
      </c>
      <c r="T135" t="s">
        <v>67</v>
      </c>
      <c r="U135" t="s">
        <v>239</v>
      </c>
      <c r="V135">
        <v>4582011</v>
      </c>
      <c r="W135" t="b">
        <v>0</v>
      </c>
      <c r="X135">
        <v>0</v>
      </c>
      <c r="Y135" t="s">
        <v>240</v>
      </c>
      <c r="Z135" t="b">
        <v>1</v>
      </c>
      <c r="AA135" t="s">
        <v>241</v>
      </c>
      <c r="AB135">
        <v>250826012754</v>
      </c>
      <c r="AC135" t="s">
        <v>242</v>
      </c>
      <c r="AD135" t="s">
        <v>242</v>
      </c>
      <c r="AE135">
        <v>5</v>
      </c>
      <c r="AF135">
        <v>2</v>
      </c>
      <c r="AG135" t="s">
        <v>91</v>
      </c>
      <c r="AH135" t="s">
        <v>238</v>
      </c>
      <c r="AI135" t="s">
        <v>74</v>
      </c>
      <c r="AJ135" t="s">
        <v>75</v>
      </c>
      <c r="AK135" t="s">
        <v>76</v>
      </c>
      <c r="AL135" t="s">
        <v>135</v>
      </c>
      <c r="AM135" t="s">
        <v>78</v>
      </c>
      <c r="AN135" t="b">
        <v>1</v>
      </c>
      <c r="AO135">
        <v>1045</v>
      </c>
      <c r="AP135" t="s">
        <v>65</v>
      </c>
      <c r="AQ135" t="b">
        <v>1</v>
      </c>
      <c r="AR135">
        <v>0</v>
      </c>
      <c r="AS135">
        <v>0</v>
      </c>
      <c r="AT135">
        <v>0</v>
      </c>
      <c r="AU135">
        <v>0</v>
      </c>
      <c r="AV135">
        <v>0</v>
      </c>
      <c r="AW135" t="b">
        <v>0</v>
      </c>
      <c r="AX135" t="b">
        <v>0</v>
      </c>
      <c r="AY135" t="s">
        <v>79</v>
      </c>
      <c r="AZ135" t="b">
        <v>0</v>
      </c>
      <c r="BA135" t="s">
        <v>243</v>
      </c>
      <c r="BB135" t="s">
        <v>244</v>
      </c>
      <c r="BC135" t="s">
        <v>82</v>
      </c>
      <c r="BD135" t="b">
        <v>0</v>
      </c>
      <c r="BF135" t="b">
        <v>0</v>
      </c>
    </row>
    <row r="136" spans="1:58" x14ac:dyDescent="0.25">
      <c r="A136">
        <v>3.9</v>
      </c>
      <c r="B136">
        <v>4437</v>
      </c>
      <c r="C136" t="s">
        <v>245</v>
      </c>
      <c r="D136" t="s">
        <v>246</v>
      </c>
      <c r="E136">
        <v>0.89583333333333337</v>
      </c>
      <c r="G136">
        <v>1</v>
      </c>
      <c r="K136" t="b">
        <v>0</v>
      </c>
      <c r="M136">
        <v>3974784</v>
      </c>
      <c r="N136" t="s">
        <v>247</v>
      </c>
      <c r="O136">
        <v>1787659232918</v>
      </c>
      <c r="P136" t="s">
        <v>65</v>
      </c>
      <c r="S136" t="s">
        <v>181</v>
      </c>
      <c r="T136" t="s">
        <v>67</v>
      </c>
      <c r="U136" t="s">
        <v>239</v>
      </c>
      <c r="V136">
        <v>4608615</v>
      </c>
      <c r="W136" t="b">
        <v>0</v>
      </c>
      <c r="X136">
        <v>0</v>
      </c>
      <c r="Y136" t="s">
        <v>248</v>
      </c>
      <c r="Z136" t="b">
        <v>1</v>
      </c>
      <c r="AA136" t="s">
        <v>249</v>
      </c>
      <c r="AB136">
        <v>170426013396</v>
      </c>
      <c r="AC136" t="s">
        <v>250</v>
      </c>
      <c r="AD136" t="s">
        <v>250</v>
      </c>
      <c r="AE136">
        <v>7</v>
      </c>
      <c r="AF136">
        <v>3</v>
      </c>
      <c r="AG136" t="s">
        <v>91</v>
      </c>
      <c r="AH136" t="s">
        <v>181</v>
      </c>
      <c r="AI136" t="s">
        <v>74</v>
      </c>
      <c r="AJ136" t="s">
        <v>75</v>
      </c>
      <c r="AK136" t="s">
        <v>76</v>
      </c>
      <c r="AL136" t="s">
        <v>251</v>
      </c>
      <c r="AM136" t="s">
        <v>78</v>
      </c>
      <c r="AN136" t="b">
        <v>1</v>
      </c>
      <c r="AO136">
        <v>1019</v>
      </c>
      <c r="AP136" t="s">
        <v>65</v>
      </c>
      <c r="AQ136" t="b">
        <v>1</v>
      </c>
      <c r="AR136">
        <v>0</v>
      </c>
      <c r="AS136">
        <v>0</v>
      </c>
      <c r="AT136">
        <v>0</v>
      </c>
      <c r="AU136">
        <v>0</v>
      </c>
      <c r="AV136">
        <v>0</v>
      </c>
      <c r="AW136" t="b">
        <v>0</v>
      </c>
      <c r="AX136" t="b">
        <v>0</v>
      </c>
      <c r="AY136" t="s">
        <v>79</v>
      </c>
      <c r="AZ136" t="b">
        <v>0</v>
      </c>
      <c r="BA136" t="s">
        <v>252</v>
      </c>
      <c r="BB136" t="s">
        <v>253</v>
      </c>
      <c r="BC136" t="s">
        <v>224</v>
      </c>
      <c r="BD136" t="b">
        <v>0</v>
      </c>
      <c r="BE136">
        <v>3</v>
      </c>
      <c r="BF136" t="b">
        <v>0</v>
      </c>
    </row>
    <row r="137" spans="1:58" x14ac:dyDescent="0.25">
      <c r="A137">
        <v>3.2</v>
      </c>
      <c r="B137">
        <v>118481</v>
      </c>
      <c r="C137" t="s">
        <v>144</v>
      </c>
      <c r="D137" t="s">
        <v>145</v>
      </c>
      <c r="E137">
        <v>0.8208333333333333</v>
      </c>
      <c r="G137">
        <v>1</v>
      </c>
      <c r="H137">
        <v>2949</v>
      </c>
      <c r="K137" t="b">
        <v>0</v>
      </c>
      <c r="M137">
        <v>892542</v>
      </c>
      <c r="N137" t="s">
        <v>146</v>
      </c>
      <c r="O137">
        <v>1787911934859</v>
      </c>
      <c r="P137" t="s">
        <v>65</v>
      </c>
      <c r="S137" t="s">
        <v>147</v>
      </c>
      <c r="T137" t="s">
        <v>67</v>
      </c>
      <c r="U137" t="s">
        <v>119</v>
      </c>
      <c r="V137">
        <v>223346</v>
      </c>
      <c r="W137" t="b">
        <v>0</v>
      </c>
      <c r="X137">
        <v>0</v>
      </c>
      <c r="Y137" t="s">
        <v>148</v>
      </c>
      <c r="Z137" t="b">
        <v>1</v>
      </c>
      <c r="AA137" t="s">
        <v>149</v>
      </c>
      <c r="AB137">
        <v>280826008430</v>
      </c>
      <c r="AC137" t="s">
        <v>150</v>
      </c>
      <c r="AD137" t="s">
        <v>150</v>
      </c>
      <c r="AE137">
        <v>10</v>
      </c>
      <c r="AF137">
        <v>6</v>
      </c>
      <c r="AG137" t="s">
        <v>91</v>
      </c>
      <c r="AH137" t="s">
        <v>147</v>
      </c>
      <c r="AI137" t="s">
        <v>74</v>
      </c>
      <c r="AJ137" t="s">
        <v>75</v>
      </c>
      <c r="AK137" t="s">
        <v>76</v>
      </c>
      <c r="AL137" t="s">
        <v>151</v>
      </c>
      <c r="AM137" t="s">
        <v>78</v>
      </c>
      <c r="AN137" t="b">
        <v>0</v>
      </c>
      <c r="AO137">
        <v>1019</v>
      </c>
      <c r="AP137" t="s">
        <v>65</v>
      </c>
      <c r="AQ137" t="b">
        <v>1</v>
      </c>
      <c r="AR137">
        <v>0</v>
      </c>
      <c r="AS137">
        <v>0</v>
      </c>
      <c r="AT137">
        <v>0</v>
      </c>
      <c r="AU137">
        <v>0</v>
      </c>
      <c r="AV137">
        <v>0</v>
      </c>
      <c r="AW137" t="b">
        <v>0</v>
      </c>
      <c r="AX137" t="b">
        <v>0</v>
      </c>
      <c r="AY137" t="s">
        <v>79</v>
      </c>
      <c r="AZ137" t="b">
        <v>0</v>
      </c>
      <c r="BA137" t="s">
        <v>152</v>
      </c>
      <c r="BB137" t="s">
        <v>153</v>
      </c>
      <c r="BC137" t="s">
        <v>82</v>
      </c>
      <c r="BD137" t="b">
        <v>0</v>
      </c>
      <c r="BF137" t="b">
        <v>0</v>
      </c>
    </row>
    <row r="138" spans="1:58" x14ac:dyDescent="0.25">
      <c r="A138">
        <v>3.5</v>
      </c>
      <c r="B138">
        <v>50684</v>
      </c>
      <c r="C138" t="s">
        <v>205</v>
      </c>
      <c r="D138" t="s">
        <v>206</v>
      </c>
      <c r="E138">
        <v>0.90694444444444444</v>
      </c>
      <c r="G138">
        <v>1</v>
      </c>
      <c r="I138">
        <v>1</v>
      </c>
      <c r="J138" t="s">
        <v>207</v>
      </c>
      <c r="K138" t="b">
        <v>0</v>
      </c>
      <c r="M138">
        <v>124269780</v>
      </c>
      <c r="N138" t="s">
        <v>208</v>
      </c>
      <c r="O138">
        <v>1787573805796</v>
      </c>
      <c r="P138" t="s">
        <v>65</v>
      </c>
      <c r="Q138" t="s">
        <v>209</v>
      </c>
      <c r="R138" t="b">
        <v>0</v>
      </c>
      <c r="S138" t="s">
        <v>210</v>
      </c>
      <c r="T138" t="s">
        <v>67</v>
      </c>
      <c r="U138" t="s">
        <v>211</v>
      </c>
      <c r="V138">
        <v>13832</v>
      </c>
      <c r="W138" t="b">
        <v>0</v>
      </c>
      <c r="X138">
        <v>0</v>
      </c>
      <c r="Y138" t="s">
        <v>212</v>
      </c>
      <c r="Z138" t="b">
        <v>0</v>
      </c>
      <c r="AA138" t="s">
        <v>213</v>
      </c>
      <c r="AB138">
        <v>170826004896</v>
      </c>
      <c r="AC138" t="s">
        <v>214</v>
      </c>
      <c r="AD138" t="s">
        <v>214</v>
      </c>
      <c r="AE138">
        <v>8</v>
      </c>
      <c r="AF138">
        <v>5</v>
      </c>
      <c r="AG138" t="s">
        <v>91</v>
      </c>
      <c r="AH138" t="s">
        <v>210</v>
      </c>
      <c r="AI138" t="s">
        <v>74</v>
      </c>
      <c r="AJ138" t="s">
        <v>75</v>
      </c>
      <c r="AK138" t="s">
        <v>76</v>
      </c>
      <c r="AL138" t="s">
        <v>215</v>
      </c>
      <c r="AM138" t="s">
        <v>78</v>
      </c>
      <c r="AN138" t="b">
        <v>1</v>
      </c>
      <c r="AO138">
        <v>1028</v>
      </c>
      <c r="AP138" t="s">
        <v>65</v>
      </c>
      <c r="AQ138" t="b">
        <v>1</v>
      </c>
      <c r="AR138">
        <v>0</v>
      </c>
      <c r="AS138">
        <v>0</v>
      </c>
      <c r="AT138">
        <v>0</v>
      </c>
      <c r="AU138">
        <v>0</v>
      </c>
      <c r="AV138">
        <v>0</v>
      </c>
      <c r="AW138" t="b">
        <v>0</v>
      </c>
      <c r="AX138" t="b">
        <v>0</v>
      </c>
      <c r="AY138" t="s">
        <v>79</v>
      </c>
      <c r="AZ138" t="b">
        <v>0</v>
      </c>
      <c r="BA138" t="s">
        <v>216</v>
      </c>
      <c r="BB138" t="s">
        <v>217</v>
      </c>
      <c r="BC138" t="s">
        <v>218</v>
      </c>
      <c r="BD138" t="b">
        <v>0</v>
      </c>
      <c r="BE138">
        <v>1000</v>
      </c>
      <c r="BF138" t="b">
        <v>0</v>
      </c>
    </row>
    <row r="139" spans="1:58" x14ac:dyDescent="0.25">
      <c r="A139">
        <v>3.5</v>
      </c>
      <c r="B139">
        <v>50684</v>
      </c>
      <c r="C139" t="s">
        <v>205</v>
      </c>
      <c r="D139" t="s">
        <v>206</v>
      </c>
      <c r="E139">
        <v>0.90694444444444444</v>
      </c>
      <c r="G139">
        <v>1</v>
      </c>
      <c r="K139" t="b">
        <v>0</v>
      </c>
      <c r="M139">
        <v>124269780</v>
      </c>
      <c r="N139" t="s">
        <v>208</v>
      </c>
      <c r="O139">
        <v>1787573809755</v>
      </c>
      <c r="P139" t="s">
        <v>65</v>
      </c>
      <c r="S139" t="s">
        <v>254</v>
      </c>
      <c r="T139" t="s">
        <v>67</v>
      </c>
      <c r="U139" t="s">
        <v>211</v>
      </c>
      <c r="V139">
        <v>13832</v>
      </c>
      <c r="W139" t="b">
        <v>0</v>
      </c>
      <c r="X139">
        <v>0</v>
      </c>
      <c r="Y139" t="s">
        <v>255</v>
      </c>
      <c r="Z139" t="b">
        <v>1</v>
      </c>
      <c r="AA139" t="s">
        <v>213</v>
      </c>
      <c r="AB139">
        <v>170826030661</v>
      </c>
      <c r="AC139" t="s">
        <v>214</v>
      </c>
      <c r="AD139" t="s">
        <v>214</v>
      </c>
      <c r="AE139">
        <v>11</v>
      </c>
      <c r="AF139">
        <v>9</v>
      </c>
      <c r="AG139" t="s">
        <v>91</v>
      </c>
      <c r="AH139" t="s">
        <v>254</v>
      </c>
      <c r="AI139" t="s">
        <v>74</v>
      </c>
      <c r="AJ139" t="s">
        <v>75</v>
      </c>
      <c r="AK139" t="s">
        <v>76</v>
      </c>
      <c r="AL139" t="s">
        <v>215</v>
      </c>
      <c r="AM139" t="s">
        <v>78</v>
      </c>
      <c r="AN139" t="b">
        <v>1</v>
      </c>
      <c r="AO139">
        <v>1028</v>
      </c>
      <c r="AP139" t="s">
        <v>65</v>
      </c>
      <c r="AQ139" t="b">
        <v>1</v>
      </c>
      <c r="AR139">
        <v>0</v>
      </c>
      <c r="AS139">
        <v>0</v>
      </c>
      <c r="AT139">
        <v>0</v>
      </c>
      <c r="AU139">
        <v>0</v>
      </c>
      <c r="AV139">
        <v>0</v>
      </c>
      <c r="AW139" t="b">
        <v>0</v>
      </c>
      <c r="AX139" t="b">
        <v>0</v>
      </c>
      <c r="AY139" t="s">
        <v>79</v>
      </c>
      <c r="AZ139" t="b">
        <v>0</v>
      </c>
      <c r="BA139" t="s">
        <v>216</v>
      </c>
      <c r="BB139" t="s">
        <v>217</v>
      </c>
      <c r="BC139" t="s">
        <v>218</v>
      </c>
      <c r="BD139" t="b">
        <v>0</v>
      </c>
      <c r="BE139">
        <v>1000</v>
      </c>
      <c r="BF139" t="b">
        <v>0</v>
      </c>
    </row>
    <row r="140" spans="1:58" x14ac:dyDescent="0.25">
      <c r="A140">
        <v>3.6</v>
      </c>
      <c r="B140">
        <v>27553</v>
      </c>
      <c r="C140" t="s">
        <v>256</v>
      </c>
      <c r="D140" t="s">
        <v>257</v>
      </c>
      <c r="E140">
        <v>0.62916666666666665</v>
      </c>
      <c r="G140">
        <v>1</v>
      </c>
      <c r="K140" t="b">
        <v>0</v>
      </c>
      <c r="M140">
        <v>124141072</v>
      </c>
      <c r="N140" t="s">
        <v>258</v>
      </c>
      <c r="O140">
        <v>1787808986220</v>
      </c>
      <c r="P140" t="s">
        <v>65</v>
      </c>
      <c r="S140" t="s">
        <v>259</v>
      </c>
      <c r="T140" t="s">
        <v>67</v>
      </c>
      <c r="U140" t="s">
        <v>87</v>
      </c>
      <c r="V140">
        <v>7519247</v>
      </c>
      <c r="W140" t="b">
        <v>0</v>
      </c>
      <c r="X140">
        <v>0</v>
      </c>
      <c r="Y140" t="s">
        <v>260</v>
      </c>
      <c r="Z140" t="b">
        <v>1</v>
      </c>
      <c r="AA140" t="s">
        <v>261</v>
      </c>
      <c r="AB140">
        <v>270826010600</v>
      </c>
      <c r="AC140" t="s">
        <v>262</v>
      </c>
      <c r="AD140" t="s">
        <v>262</v>
      </c>
      <c r="AE140">
        <v>11</v>
      </c>
      <c r="AF140">
        <v>6</v>
      </c>
      <c r="AG140" t="s">
        <v>91</v>
      </c>
      <c r="AH140" t="s">
        <v>259</v>
      </c>
      <c r="AI140" t="s">
        <v>74</v>
      </c>
      <c r="AJ140" t="s">
        <v>263</v>
      </c>
      <c r="AK140" t="s">
        <v>76</v>
      </c>
      <c r="AL140" t="s">
        <v>264</v>
      </c>
      <c r="AM140" t="s">
        <v>78</v>
      </c>
      <c r="AN140" t="b">
        <v>1</v>
      </c>
      <c r="AO140">
        <v>1019</v>
      </c>
      <c r="AP140" t="s">
        <v>65</v>
      </c>
      <c r="AQ140" t="b">
        <v>0</v>
      </c>
      <c r="AS140">
        <v>2000000</v>
      </c>
      <c r="AU140">
        <v>1000000</v>
      </c>
      <c r="AV140">
        <v>0</v>
      </c>
      <c r="AW140" t="b">
        <v>0</v>
      </c>
      <c r="AX140" t="b">
        <v>0</v>
      </c>
      <c r="AY140" t="s">
        <v>79</v>
      </c>
      <c r="AZ140" t="b">
        <v>0</v>
      </c>
      <c r="BA140" t="s">
        <v>265</v>
      </c>
      <c r="BB140" t="s">
        <v>266</v>
      </c>
      <c r="BC140" t="s">
        <v>82</v>
      </c>
      <c r="BD140" t="b">
        <v>0</v>
      </c>
      <c r="BE140">
        <v>20</v>
      </c>
      <c r="BF140" t="b">
        <v>0</v>
      </c>
    </row>
    <row r="141" spans="1:58" x14ac:dyDescent="0.25">
      <c r="A141">
        <v>3.5</v>
      </c>
      <c r="B141">
        <v>50684</v>
      </c>
      <c r="C141" t="s">
        <v>205</v>
      </c>
      <c r="D141" t="s">
        <v>206</v>
      </c>
      <c r="E141">
        <v>0.90694444444444444</v>
      </c>
      <c r="G141">
        <v>1</v>
      </c>
      <c r="K141" t="b">
        <v>0</v>
      </c>
      <c r="M141">
        <v>124269780</v>
      </c>
      <c r="N141" t="s">
        <v>208</v>
      </c>
      <c r="O141">
        <v>1787573816905</v>
      </c>
      <c r="P141" t="s">
        <v>65</v>
      </c>
      <c r="S141" t="s">
        <v>267</v>
      </c>
      <c r="T141" t="s">
        <v>67</v>
      </c>
      <c r="U141" t="s">
        <v>211</v>
      </c>
      <c r="V141">
        <v>13832</v>
      </c>
      <c r="W141" t="b">
        <v>0</v>
      </c>
      <c r="X141">
        <v>0</v>
      </c>
      <c r="Y141" t="s">
        <v>268</v>
      </c>
      <c r="Z141" t="b">
        <v>1</v>
      </c>
      <c r="AA141" t="s">
        <v>213</v>
      </c>
      <c r="AB141">
        <v>170826030591</v>
      </c>
      <c r="AC141" t="s">
        <v>214</v>
      </c>
      <c r="AD141" t="s">
        <v>214</v>
      </c>
      <c r="AE141">
        <v>9</v>
      </c>
      <c r="AF141">
        <v>7</v>
      </c>
      <c r="AG141" t="s">
        <v>91</v>
      </c>
      <c r="AH141" t="s">
        <v>267</v>
      </c>
      <c r="AI141" t="s">
        <v>74</v>
      </c>
      <c r="AJ141" t="s">
        <v>75</v>
      </c>
      <c r="AK141" t="s">
        <v>76</v>
      </c>
      <c r="AL141" t="s">
        <v>215</v>
      </c>
      <c r="AM141" t="s">
        <v>78</v>
      </c>
      <c r="AN141" t="b">
        <v>1</v>
      </c>
      <c r="AO141">
        <v>1028</v>
      </c>
      <c r="AP141" t="s">
        <v>65</v>
      </c>
      <c r="AQ141" t="b">
        <v>1</v>
      </c>
      <c r="AR141">
        <v>0</v>
      </c>
      <c r="AS141">
        <v>0</v>
      </c>
      <c r="AT141">
        <v>0</v>
      </c>
      <c r="AU141">
        <v>0</v>
      </c>
      <c r="AV141">
        <v>0</v>
      </c>
      <c r="AW141" t="b">
        <v>0</v>
      </c>
      <c r="AX141" t="b">
        <v>0</v>
      </c>
      <c r="AY141" t="s">
        <v>79</v>
      </c>
      <c r="AZ141" t="b">
        <v>0</v>
      </c>
      <c r="BA141" t="s">
        <v>216</v>
      </c>
      <c r="BB141" t="s">
        <v>217</v>
      </c>
      <c r="BC141" t="s">
        <v>218</v>
      </c>
      <c r="BD141" t="b">
        <v>0</v>
      </c>
      <c r="BE141">
        <v>1000</v>
      </c>
      <c r="BF141" t="b">
        <v>0</v>
      </c>
    </row>
    <row r="142" spans="1:58" x14ac:dyDescent="0.25">
      <c r="A142">
        <v>3.8</v>
      </c>
      <c r="B142">
        <v>6281</v>
      </c>
      <c r="C142" t="s">
        <v>176</v>
      </c>
      <c r="D142" t="s">
        <v>177</v>
      </c>
      <c r="E142">
        <v>0.90138888888888891</v>
      </c>
      <c r="F142" t="s">
        <v>178</v>
      </c>
      <c r="G142">
        <v>1</v>
      </c>
      <c r="H142">
        <v>15127</v>
      </c>
      <c r="K142" t="b">
        <v>1</v>
      </c>
      <c r="L142" t="s">
        <v>179</v>
      </c>
      <c r="M142">
        <v>1369478</v>
      </c>
      <c r="N142" t="s">
        <v>180</v>
      </c>
      <c r="O142">
        <v>1766146126000</v>
      </c>
      <c r="P142" t="s">
        <v>65</v>
      </c>
      <c r="S142" t="s">
        <v>181</v>
      </c>
      <c r="T142" t="s">
        <v>67</v>
      </c>
      <c r="U142" t="s">
        <v>68</v>
      </c>
      <c r="V142">
        <v>164080</v>
      </c>
      <c r="W142" t="b">
        <v>0</v>
      </c>
      <c r="X142">
        <v>0</v>
      </c>
      <c r="Y142" t="s">
        <v>182</v>
      </c>
      <c r="Z142" t="b">
        <v>0</v>
      </c>
      <c r="AA142" t="s">
        <v>183</v>
      </c>
      <c r="AB142">
        <v>191225503735</v>
      </c>
      <c r="AC142" t="s">
        <v>184</v>
      </c>
      <c r="AD142" t="s">
        <v>184</v>
      </c>
      <c r="AE142">
        <v>7</v>
      </c>
      <c r="AF142">
        <v>3</v>
      </c>
      <c r="AG142" t="s">
        <v>73</v>
      </c>
      <c r="AH142" t="s">
        <v>181</v>
      </c>
      <c r="AI142" t="s">
        <v>74</v>
      </c>
      <c r="AJ142" t="s">
        <v>75</v>
      </c>
      <c r="AK142" t="s">
        <v>76</v>
      </c>
      <c r="AL142" t="s">
        <v>135</v>
      </c>
      <c r="AM142" t="s">
        <v>78</v>
      </c>
      <c r="AN142" t="b">
        <v>0</v>
      </c>
      <c r="AO142">
        <v>1019</v>
      </c>
      <c r="AP142" t="s">
        <v>65</v>
      </c>
      <c r="AQ142" t="b">
        <v>1</v>
      </c>
      <c r="AR142">
        <v>0</v>
      </c>
      <c r="AS142">
        <v>0</v>
      </c>
      <c r="AT142">
        <v>0</v>
      </c>
      <c r="AU142">
        <v>0</v>
      </c>
      <c r="AV142">
        <v>0</v>
      </c>
      <c r="AW142" t="b">
        <v>0</v>
      </c>
      <c r="AX142" t="b">
        <v>0</v>
      </c>
      <c r="AY142" t="s">
        <v>79</v>
      </c>
      <c r="AZ142" t="b">
        <v>0</v>
      </c>
      <c r="BA142" t="s">
        <v>185</v>
      </c>
      <c r="BB142" t="s">
        <v>186</v>
      </c>
      <c r="BC142" t="s">
        <v>187</v>
      </c>
      <c r="BD142" t="b">
        <v>0</v>
      </c>
      <c r="BF142" t="b">
        <v>0</v>
      </c>
    </row>
    <row r="143" spans="1:58" x14ac:dyDescent="0.25">
      <c r="A143">
        <v>3.4</v>
      </c>
      <c r="B143">
        <v>47884</v>
      </c>
      <c r="C143" t="s">
        <v>83</v>
      </c>
      <c r="D143" t="s">
        <v>84</v>
      </c>
      <c r="E143">
        <v>0.62777777777777777</v>
      </c>
      <c r="G143">
        <v>1</v>
      </c>
      <c r="H143">
        <v>3730</v>
      </c>
      <c r="K143" t="b">
        <v>0</v>
      </c>
      <c r="M143">
        <v>2904476</v>
      </c>
      <c r="N143" t="s">
        <v>85</v>
      </c>
      <c r="O143">
        <v>1787808879920</v>
      </c>
      <c r="P143" t="s">
        <v>65</v>
      </c>
      <c r="S143" t="s">
        <v>86</v>
      </c>
      <c r="T143" t="s">
        <v>67</v>
      </c>
      <c r="U143" t="s">
        <v>87</v>
      </c>
      <c r="V143">
        <v>194354</v>
      </c>
      <c r="W143" t="b">
        <v>0</v>
      </c>
      <c r="X143">
        <v>0</v>
      </c>
      <c r="Y143" t="s">
        <v>88</v>
      </c>
      <c r="Z143" t="b">
        <v>1</v>
      </c>
      <c r="AA143" t="s">
        <v>89</v>
      </c>
      <c r="AB143">
        <v>270826010477</v>
      </c>
      <c r="AC143" t="s">
        <v>90</v>
      </c>
      <c r="AD143" t="s">
        <v>90</v>
      </c>
      <c r="AE143">
        <v>7</v>
      </c>
      <c r="AF143">
        <v>4</v>
      </c>
      <c r="AG143" t="s">
        <v>91</v>
      </c>
      <c r="AH143" t="s">
        <v>86</v>
      </c>
      <c r="AI143" t="s">
        <v>74</v>
      </c>
      <c r="AJ143" t="s">
        <v>75</v>
      </c>
      <c r="AK143" t="s">
        <v>76</v>
      </c>
      <c r="AL143" t="s">
        <v>92</v>
      </c>
      <c r="AM143" t="s">
        <v>78</v>
      </c>
      <c r="AN143" t="b">
        <v>1</v>
      </c>
      <c r="AO143">
        <v>1020</v>
      </c>
      <c r="AP143" t="s">
        <v>65</v>
      </c>
      <c r="AQ143" t="b">
        <v>1</v>
      </c>
      <c r="AR143">
        <v>0</v>
      </c>
      <c r="AS143">
        <v>0</v>
      </c>
      <c r="AT143">
        <v>0</v>
      </c>
      <c r="AU143">
        <v>0</v>
      </c>
      <c r="AV143">
        <v>0</v>
      </c>
      <c r="AW143" t="b">
        <v>0</v>
      </c>
      <c r="AX143" t="b">
        <v>0</v>
      </c>
      <c r="AY143" t="s">
        <v>79</v>
      </c>
      <c r="AZ143" t="b">
        <v>0</v>
      </c>
      <c r="BA143" t="s">
        <v>93</v>
      </c>
      <c r="BB143" t="s">
        <v>94</v>
      </c>
      <c r="BC143" t="s">
        <v>82</v>
      </c>
      <c r="BD143" t="b">
        <v>0</v>
      </c>
      <c r="BF143" t="b">
        <v>0</v>
      </c>
    </row>
    <row r="144" spans="1:58" x14ac:dyDescent="0.25">
      <c r="A144">
        <v>3.3</v>
      </c>
      <c r="B144">
        <v>13397</v>
      </c>
      <c r="C144" t="s">
        <v>95</v>
      </c>
      <c r="D144" t="s">
        <v>96</v>
      </c>
      <c r="E144">
        <v>0.69722222222222219</v>
      </c>
      <c r="G144">
        <v>1</v>
      </c>
      <c r="K144" t="b">
        <v>0</v>
      </c>
      <c r="M144">
        <v>676499</v>
      </c>
      <c r="N144" t="s">
        <v>97</v>
      </c>
      <c r="O144">
        <v>1787728452770</v>
      </c>
      <c r="P144" t="s">
        <v>65</v>
      </c>
      <c r="S144" t="s">
        <v>98</v>
      </c>
      <c r="T144" t="s">
        <v>67</v>
      </c>
      <c r="U144" t="s">
        <v>99</v>
      </c>
      <c r="V144">
        <v>9246</v>
      </c>
      <c r="W144" t="b">
        <v>0</v>
      </c>
      <c r="X144">
        <v>0</v>
      </c>
      <c r="Y144" t="s">
        <v>100</v>
      </c>
      <c r="Z144" t="b">
        <v>1</v>
      </c>
      <c r="AA144" t="s">
        <v>101</v>
      </c>
      <c r="AB144">
        <v>260826016031</v>
      </c>
      <c r="AC144" t="s">
        <v>102</v>
      </c>
      <c r="AD144" t="s">
        <v>102</v>
      </c>
      <c r="AE144">
        <v>8</v>
      </c>
      <c r="AF144">
        <v>4</v>
      </c>
      <c r="AG144" t="s">
        <v>91</v>
      </c>
      <c r="AH144" t="s">
        <v>98</v>
      </c>
      <c r="AI144" t="s">
        <v>74</v>
      </c>
      <c r="AJ144" t="s">
        <v>75</v>
      </c>
      <c r="AK144" t="s">
        <v>76</v>
      </c>
      <c r="AL144" t="s">
        <v>103</v>
      </c>
      <c r="AM144" t="s">
        <v>78</v>
      </c>
      <c r="AN144" t="b">
        <v>1</v>
      </c>
      <c r="AO144">
        <v>1019</v>
      </c>
      <c r="AP144" t="s">
        <v>65</v>
      </c>
      <c r="AQ144" t="b">
        <v>1</v>
      </c>
      <c r="AR144">
        <v>0</v>
      </c>
      <c r="AS144">
        <v>0</v>
      </c>
      <c r="AT144">
        <v>0</v>
      </c>
      <c r="AU144">
        <v>0</v>
      </c>
      <c r="AV144">
        <v>0</v>
      </c>
      <c r="AW144" t="b">
        <v>0</v>
      </c>
      <c r="AX144" t="b">
        <v>0</v>
      </c>
      <c r="AY144" t="s">
        <v>79</v>
      </c>
      <c r="AZ144" t="b">
        <v>0</v>
      </c>
      <c r="BA144" t="s">
        <v>104</v>
      </c>
      <c r="BB144" t="s">
        <v>105</v>
      </c>
      <c r="BC144" t="s">
        <v>82</v>
      </c>
      <c r="BD144" t="b">
        <v>0</v>
      </c>
      <c r="BE144">
        <v>4</v>
      </c>
      <c r="BF144" t="b">
        <v>0</v>
      </c>
    </row>
    <row r="145" spans="1:58" x14ac:dyDescent="0.25">
      <c r="E145">
        <v>0.91874999999999996</v>
      </c>
      <c r="F145" t="s">
        <v>188</v>
      </c>
      <c r="G145">
        <v>1</v>
      </c>
      <c r="K145" t="b">
        <v>1</v>
      </c>
      <c r="L145" t="s">
        <v>189</v>
      </c>
      <c r="M145">
        <v>125076821</v>
      </c>
      <c r="N145" t="s">
        <v>190</v>
      </c>
      <c r="O145">
        <v>1783341207000</v>
      </c>
      <c r="P145" t="s">
        <v>65</v>
      </c>
      <c r="S145" t="s">
        <v>191</v>
      </c>
      <c r="T145" t="s">
        <v>67</v>
      </c>
      <c r="U145" t="s">
        <v>68</v>
      </c>
      <c r="V145">
        <v>7029887</v>
      </c>
      <c r="W145" t="b">
        <v>0</v>
      </c>
      <c r="X145">
        <v>0</v>
      </c>
      <c r="Y145" t="s">
        <v>192</v>
      </c>
      <c r="Z145" t="b">
        <v>0</v>
      </c>
      <c r="AA145" t="s">
        <v>193</v>
      </c>
      <c r="AB145" t="s">
        <v>194</v>
      </c>
      <c r="AC145" t="s">
        <v>195</v>
      </c>
      <c r="AD145" t="s">
        <v>195</v>
      </c>
      <c r="AE145">
        <v>10</v>
      </c>
      <c r="AF145">
        <v>5</v>
      </c>
      <c r="AG145" t="s">
        <v>73</v>
      </c>
      <c r="AH145" t="s">
        <v>191</v>
      </c>
      <c r="AI145" t="s">
        <v>74</v>
      </c>
      <c r="AJ145" t="s">
        <v>75</v>
      </c>
      <c r="AK145" t="s">
        <v>76</v>
      </c>
      <c r="AL145" t="s">
        <v>135</v>
      </c>
      <c r="AM145" t="s">
        <v>78</v>
      </c>
      <c r="AN145" t="b">
        <v>0</v>
      </c>
      <c r="AO145">
        <v>1019</v>
      </c>
      <c r="AP145" t="s">
        <v>65</v>
      </c>
      <c r="AQ145" t="b">
        <v>1</v>
      </c>
      <c r="AR145">
        <v>0</v>
      </c>
      <c r="AS145">
        <v>0</v>
      </c>
      <c r="AT145">
        <v>0</v>
      </c>
      <c r="AU145">
        <v>0</v>
      </c>
      <c r="AV145">
        <v>0</v>
      </c>
      <c r="AW145" t="b">
        <v>0</v>
      </c>
      <c r="AX145" t="b">
        <v>0</v>
      </c>
      <c r="AY145" t="s">
        <v>79</v>
      </c>
      <c r="AZ145" t="b">
        <v>0</v>
      </c>
      <c r="BA145" t="s">
        <v>196</v>
      </c>
      <c r="BB145" t="s">
        <v>197</v>
      </c>
      <c r="BC145" t="s">
        <v>198</v>
      </c>
      <c r="BD145" t="b">
        <v>0</v>
      </c>
      <c r="BF145" t="b">
        <v>0</v>
      </c>
    </row>
    <row r="146" spans="1:58" x14ac:dyDescent="0.25">
      <c r="A146">
        <v>3.9</v>
      </c>
      <c r="B146">
        <v>26716</v>
      </c>
      <c r="C146" t="s">
        <v>126</v>
      </c>
      <c r="D146" t="s">
        <v>127</v>
      </c>
      <c r="E146">
        <v>0.74861111111111112</v>
      </c>
      <c r="F146" t="s">
        <v>128</v>
      </c>
      <c r="G146">
        <v>1</v>
      </c>
      <c r="H146">
        <v>10201</v>
      </c>
      <c r="K146" t="b">
        <v>1</v>
      </c>
      <c r="L146" t="s">
        <v>129</v>
      </c>
      <c r="M146">
        <v>16987</v>
      </c>
      <c r="N146" t="s">
        <v>130</v>
      </c>
      <c r="O146">
        <v>1787819294543</v>
      </c>
      <c r="P146" t="s">
        <v>65</v>
      </c>
      <c r="S146" t="s">
        <v>131</v>
      </c>
      <c r="T146" t="s">
        <v>67</v>
      </c>
      <c r="U146" t="s">
        <v>87</v>
      </c>
      <c r="V146">
        <v>19288</v>
      </c>
      <c r="W146" t="b">
        <v>0</v>
      </c>
      <c r="X146">
        <v>0</v>
      </c>
      <c r="Y146" t="s">
        <v>132</v>
      </c>
      <c r="Z146" t="b">
        <v>0</v>
      </c>
      <c r="AA146" t="s">
        <v>133</v>
      </c>
      <c r="AB146">
        <v>270826917532</v>
      </c>
      <c r="AC146" t="s">
        <v>134</v>
      </c>
      <c r="AD146" t="s">
        <v>134</v>
      </c>
      <c r="AE146">
        <v>8</v>
      </c>
      <c r="AF146">
        <v>6</v>
      </c>
      <c r="AG146" t="s">
        <v>91</v>
      </c>
      <c r="AH146" t="s">
        <v>131</v>
      </c>
      <c r="AI146" t="s">
        <v>74</v>
      </c>
      <c r="AJ146" t="s">
        <v>75</v>
      </c>
      <c r="AK146" t="s">
        <v>76</v>
      </c>
      <c r="AL146" t="s">
        <v>135</v>
      </c>
      <c r="AM146" t="s">
        <v>78</v>
      </c>
      <c r="AN146" t="b">
        <v>0</v>
      </c>
      <c r="AO146">
        <v>1019</v>
      </c>
      <c r="AP146" t="s">
        <v>65</v>
      </c>
      <c r="AQ146" t="b">
        <v>1</v>
      </c>
      <c r="AR146">
        <v>0</v>
      </c>
      <c r="AS146">
        <v>0</v>
      </c>
      <c r="AT146">
        <v>0</v>
      </c>
      <c r="AU146">
        <v>0</v>
      </c>
      <c r="AV146">
        <v>0</v>
      </c>
      <c r="AW146" t="b">
        <v>0</v>
      </c>
      <c r="AX146" t="b">
        <v>0</v>
      </c>
      <c r="AY146" t="s">
        <v>79</v>
      </c>
      <c r="AZ146" t="b">
        <v>0</v>
      </c>
      <c r="BA146" t="s">
        <v>136</v>
      </c>
      <c r="BB146" t="s">
        <v>137</v>
      </c>
      <c r="BC146" t="s">
        <v>138</v>
      </c>
      <c r="BD146" t="b">
        <v>0</v>
      </c>
      <c r="BF146" t="b">
        <v>0</v>
      </c>
    </row>
    <row r="147" spans="1:58" x14ac:dyDescent="0.25">
      <c r="A147">
        <v>3.9</v>
      </c>
      <c r="B147">
        <v>26716</v>
      </c>
      <c r="C147" t="s">
        <v>126</v>
      </c>
      <c r="D147" t="s">
        <v>127</v>
      </c>
      <c r="E147">
        <v>0.5805555555555556</v>
      </c>
      <c r="F147" t="s">
        <v>139</v>
      </c>
      <c r="G147">
        <v>1</v>
      </c>
      <c r="H147">
        <v>10201</v>
      </c>
      <c r="K147" t="b">
        <v>1</v>
      </c>
      <c r="L147" t="s">
        <v>140</v>
      </c>
      <c r="M147">
        <v>16987</v>
      </c>
      <c r="N147" t="s">
        <v>130</v>
      </c>
      <c r="O147">
        <v>1787718372586</v>
      </c>
      <c r="P147" t="s">
        <v>65</v>
      </c>
      <c r="S147" t="s">
        <v>118</v>
      </c>
      <c r="T147" t="s">
        <v>67</v>
      </c>
      <c r="U147" t="s">
        <v>99</v>
      </c>
      <c r="V147">
        <v>19288</v>
      </c>
      <c r="W147" t="b">
        <v>0</v>
      </c>
      <c r="X147">
        <v>0</v>
      </c>
      <c r="Y147" t="s">
        <v>141</v>
      </c>
      <c r="Z147" t="b">
        <v>0</v>
      </c>
      <c r="AA147" t="s">
        <v>142</v>
      </c>
      <c r="AB147">
        <v>260826909019</v>
      </c>
      <c r="AC147" t="s">
        <v>134</v>
      </c>
      <c r="AD147" t="s">
        <v>134</v>
      </c>
      <c r="AE147">
        <v>10</v>
      </c>
      <c r="AF147">
        <v>8</v>
      </c>
      <c r="AG147" t="s">
        <v>91</v>
      </c>
      <c r="AH147" t="s">
        <v>118</v>
      </c>
      <c r="AI147" t="s">
        <v>74</v>
      </c>
      <c r="AJ147" t="s">
        <v>75</v>
      </c>
      <c r="AK147" t="s">
        <v>76</v>
      </c>
      <c r="AL147" t="s">
        <v>135</v>
      </c>
      <c r="AM147" t="s">
        <v>78</v>
      </c>
      <c r="AN147" t="b">
        <v>0</v>
      </c>
      <c r="AO147">
        <v>1019</v>
      </c>
      <c r="AP147" t="s">
        <v>65</v>
      </c>
      <c r="AQ147" t="b">
        <v>1</v>
      </c>
      <c r="AR147">
        <v>0</v>
      </c>
      <c r="AS147">
        <v>0</v>
      </c>
      <c r="AT147">
        <v>0</v>
      </c>
      <c r="AU147">
        <v>0</v>
      </c>
      <c r="AV147">
        <v>0</v>
      </c>
      <c r="AW147" t="b">
        <v>0</v>
      </c>
      <c r="AX147" t="b">
        <v>0</v>
      </c>
      <c r="AY147" t="s">
        <v>79</v>
      </c>
      <c r="AZ147" t="b">
        <v>0</v>
      </c>
      <c r="BA147" t="s">
        <v>136</v>
      </c>
      <c r="BB147" t="s">
        <v>143</v>
      </c>
      <c r="BC147" t="s">
        <v>138</v>
      </c>
      <c r="BD147" t="b">
        <v>0</v>
      </c>
      <c r="BF147" t="b">
        <v>0</v>
      </c>
    </row>
    <row r="148" spans="1:58" x14ac:dyDescent="0.25">
      <c r="A148">
        <v>3.9</v>
      </c>
      <c r="B148">
        <v>26716</v>
      </c>
      <c r="C148" t="s">
        <v>126</v>
      </c>
      <c r="D148" t="s">
        <v>127</v>
      </c>
      <c r="E148">
        <v>0.79583333333333328</v>
      </c>
      <c r="F148" t="s">
        <v>199</v>
      </c>
      <c r="G148">
        <v>1</v>
      </c>
      <c r="H148">
        <v>10201</v>
      </c>
      <c r="K148" t="b">
        <v>1</v>
      </c>
      <c r="L148" t="s">
        <v>200</v>
      </c>
      <c r="M148">
        <v>16987</v>
      </c>
      <c r="N148" t="s">
        <v>130</v>
      </c>
      <c r="O148">
        <v>1787218594529</v>
      </c>
      <c r="P148" t="s">
        <v>65</v>
      </c>
      <c r="S148" t="s">
        <v>191</v>
      </c>
      <c r="T148" t="s">
        <v>67</v>
      </c>
      <c r="U148" t="s">
        <v>201</v>
      </c>
      <c r="V148">
        <v>19288</v>
      </c>
      <c r="W148" t="b">
        <v>0</v>
      </c>
      <c r="X148">
        <v>0</v>
      </c>
      <c r="Y148" t="s">
        <v>202</v>
      </c>
      <c r="Z148" t="b">
        <v>0</v>
      </c>
      <c r="AA148" t="s">
        <v>203</v>
      </c>
      <c r="AB148">
        <v>200826923685</v>
      </c>
      <c r="AC148" t="s">
        <v>134</v>
      </c>
      <c r="AD148" t="s">
        <v>134</v>
      </c>
      <c r="AE148">
        <v>10</v>
      </c>
      <c r="AF148">
        <v>5</v>
      </c>
      <c r="AG148" t="s">
        <v>91</v>
      </c>
      <c r="AH148" t="s">
        <v>191</v>
      </c>
      <c r="AI148" t="s">
        <v>74</v>
      </c>
      <c r="AJ148" t="s">
        <v>75</v>
      </c>
      <c r="AK148" t="s">
        <v>76</v>
      </c>
      <c r="AL148" t="s">
        <v>135</v>
      </c>
      <c r="AM148" t="s">
        <v>78</v>
      </c>
      <c r="AN148" t="b">
        <v>0</v>
      </c>
      <c r="AO148">
        <v>1019</v>
      </c>
      <c r="AP148" t="s">
        <v>65</v>
      </c>
      <c r="AQ148" t="b">
        <v>1</v>
      </c>
      <c r="AR148">
        <v>0</v>
      </c>
      <c r="AS148">
        <v>0</v>
      </c>
      <c r="AT148">
        <v>0</v>
      </c>
      <c r="AU148">
        <v>0</v>
      </c>
      <c r="AV148">
        <v>0</v>
      </c>
      <c r="AW148" t="b">
        <v>0</v>
      </c>
      <c r="AX148" t="b">
        <v>0</v>
      </c>
      <c r="AY148" t="s">
        <v>79</v>
      </c>
      <c r="AZ148" t="b">
        <v>0</v>
      </c>
      <c r="BA148" t="s">
        <v>136</v>
      </c>
      <c r="BB148" t="s">
        <v>204</v>
      </c>
      <c r="BC148" t="s">
        <v>138</v>
      </c>
      <c r="BD148" t="b">
        <v>0</v>
      </c>
      <c r="BF148" t="b">
        <v>0</v>
      </c>
    </row>
    <row r="149" spans="1:58" x14ac:dyDescent="0.25">
      <c r="A149">
        <v>3.2</v>
      </c>
      <c r="B149">
        <v>118481</v>
      </c>
      <c r="C149" t="s">
        <v>144</v>
      </c>
      <c r="D149" t="s">
        <v>145</v>
      </c>
      <c r="E149">
        <v>0.8208333333333333</v>
      </c>
      <c r="G149">
        <v>1</v>
      </c>
      <c r="H149">
        <v>2949</v>
      </c>
      <c r="K149" t="b">
        <v>0</v>
      </c>
      <c r="M149">
        <v>892542</v>
      </c>
      <c r="N149" t="s">
        <v>146</v>
      </c>
      <c r="O149">
        <v>1787911934859</v>
      </c>
      <c r="P149" t="s">
        <v>65</v>
      </c>
      <c r="S149" t="s">
        <v>147</v>
      </c>
      <c r="T149" t="s">
        <v>67</v>
      </c>
      <c r="U149" t="s">
        <v>119</v>
      </c>
      <c r="V149">
        <v>223346</v>
      </c>
      <c r="W149" t="b">
        <v>0</v>
      </c>
      <c r="X149">
        <v>0</v>
      </c>
      <c r="Y149" t="s">
        <v>148</v>
      </c>
      <c r="Z149" t="b">
        <v>1</v>
      </c>
      <c r="AA149" t="s">
        <v>149</v>
      </c>
      <c r="AB149">
        <v>280826008430</v>
      </c>
      <c r="AC149" t="s">
        <v>150</v>
      </c>
      <c r="AD149" t="s">
        <v>150</v>
      </c>
      <c r="AE149">
        <v>10</v>
      </c>
      <c r="AF149">
        <v>6</v>
      </c>
      <c r="AG149" t="s">
        <v>91</v>
      </c>
      <c r="AH149" t="s">
        <v>147</v>
      </c>
      <c r="AI149" t="s">
        <v>74</v>
      </c>
      <c r="AJ149" t="s">
        <v>75</v>
      </c>
      <c r="AK149" t="s">
        <v>76</v>
      </c>
      <c r="AL149" t="s">
        <v>151</v>
      </c>
      <c r="AM149" t="s">
        <v>78</v>
      </c>
      <c r="AN149" t="b">
        <v>0</v>
      </c>
      <c r="AO149">
        <v>1019</v>
      </c>
      <c r="AP149" t="s">
        <v>65</v>
      </c>
      <c r="AQ149" t="b">
        <v>1</v>
      </c>
      <c r="AR149">
        <v>0</v>
      </c>
      <c r="AS149">
        <v>0</v>
      </c>
      <c r="AT149">
        <v>0</v>
      </c>
      <c r="AU149">
        <v>0</v>
      </c>
      <c r="AV149">
        <v>0</v>
      </c>
      <c r="AW149" t="b">
        <v>0</v>
      </c>
      <c r="AX149" t="b">
        <v>0</v>
      </c>
      <c r="AY149" t="s">
        <v>79</v>
      </c>
      <c r="AZ149" t="b">
        <v>0</v>
      </c>
      <c r="BA149" t="s">
        <v>152</v>
      </c>
      <c r="BB149" t="s">
        <v>153</v>
      </c>
      <c r="BC149" t="s">
        <v>82</v>
      </c>
      <c r="BD149" t="b">
        <v>0</v>
      </c>
      <c r="BF149" t="b">
        <v>0</v>
      </c>
    </row>
    <row r="150" spans="1:58" x14ac:dyDescent="0.25">
      <c r="A150">
        <v>3.7</v>
      </c>
      <c r="B150">
        <v>6800</v>
      </c>
      <c r="C150" t="s">
        <v>165</v>
      </c>
      <c r="D150" t="s">
        <v>166</v>
      </c>
      <c r="E150">
        <v>0.92569444444444449</v>
      </c>
      <c r="G150">
        <v>1</v>
      </c>
      <c r="H150">
        <v>2639</v>
      </c>
      <c r="K150" t="b">
        <v>0</v>
      </c>
      <c r="M150">
        <v>19934</v>
      </c>
      <c r="N150" t="s">
        <v>167</v>
      </c>
      <c r="O150">
        <v>1787316218988</v>
      </c>
      <c r="P150" t="s">
        <v>65</v>
      </c>
      <c r="S150" t="s">
        <v>168</v>
      </c>
      <c r="T150" t="s">
        <v>67</v>
      </c>
      <c r="U150" t="s">
        <v>169</v>
      </c>
      <c r="V150">
        <v>21746</v>
      </c>
      <c r="W150" t="b">
        <v>0</v>
      </c>
      <c r="X150">
        <v>0</v>
      </c>
      <c r="Y150" t="s">
        <v>170</v>
      </c>
      <c r="Z150" t="b">
        <v>1</v>
      </c>
      <c r="AA150" t="s">
        <v>171</v>
      </c>
      <c r="AB150">
        <v>210826932923</v>
      </c>
      <c r="AC150" t="s">
        <v>172</v>
      </c>
      <c r="AD150" t="s">
        <v>172</v>
      </c>
      <c r="AE150">
        <v>13</v>
      </c>
      <c r="AF150">
        <v>8</v>
      </c>
      <c r="AG150" t="s">
        <v>91</v>
      </c>
      <c r="AH150" t="s">
        <v>168</v>
      </c>
      <c r="AI150" t="s">
        <v>74</v>
      </c>
      <c r="AJ150" t="s">
        <v>75</v>
      </c>
      <c r="AK150" t="s">
        <v>76</v>
      </c>
      <c r="AL150" t="s">
        <v>135</v>
      </c>
      <c r="AM150" t="s">
        <v>78</v>
      </c>
      <c r="AN150" t="b">
        <v>0</v>
      </c>
      <c r="AO150">
        <v>1028</v>
      </c>
      <c r="AP150" t="s">
        <v>65</v>
      </c>
      <c r="AQ150" t="b">
        <v>1</v>
      </c>
      <c r="AR150">
        <v>0</v>
      </c>
      <c r="AS150">
        <v>0</v>
      </c>
      <c r="AT150">
        <v>0</v>
      </c>
      <c r="AU150">
        <v>0</v>
      </c>
      <c r="AV150">
        <v>0</v>
      </c>
      <c r="AW150" t="b">
        <v>0</v>
      </c>
      <c r="AX150" t="b">
        <v>0</v>
      </c>
      <c r="AY150" t="s">
        <v>79</v>
      </c>
      <c r="AZ150" t="b">
        <v>0</v>
      </c>
      <c r="BA150" t="s">
        <v>173</v>
      </c>
      <c r="BB150" t="s">
        <v>174</v>
      </c>
      <c r="BC150" t="s">
        <v>175</v>
      </c>
      <c r="BD150" t="b">
        <v>0</v>
      </c>
      <c r="BF150" t="b">
        <v>0</v>
      </c>
    </row>
    <row r="151" spans="1:58" x14ac:dyDescent="0.25">
      <c r="A151">
        <v>3.5</v>
      </c>
      <c r="B151">
        <v>50684</v>
      </c>
      <c r="C151" t="s">
        <v>205</v>
      </c>
      <c r="D151" t="s">
        <v>206</v>
      </c>
      <c r="E151">
        <v>0.90694444444444444</v>
      </c>
      <c r="G151">
        <v>1</v>
      </c>
      <c r="I151">
        <v>1</v>
      </c>
      <c r="J151" t="s">
        <v>207</v>
      </c>
      <c r="K151" t="b">
        <v>0</v>
      </c>
      <c r="M151">
        <v>124269780</v>
      </c>
      <c r="N151" t="s">
        <v>208</v>
      </c>
      <c r="O151">
        <v>1787573805796</v>
      </c>
      <c r="P151" t="s">
        <v>65</v>
      </c>
      <c r="Q151" t="s">
        <v>209</v>
      </c>
      <c r="R151" t="b">
        <v>0</v>
      </c>
      <c r="S151" t="s">
        <v>210</v>
      </c>
      <c r="T151" t="s">
        <v>67</v>
      </c>
      <c r="U151" t="s">
        <v>211</v>
      </c>
      <c r="V151">
        <v>13832</v>
      </c>
      <c r="W151" t="b">
        <v>0</v>
      </c>
      <c r="X151">
        <v>0</v>
      </c>
      <c r="Y151" t="s">
        <v>212</v>
      </c>
      <c r="Z151" t="b">
        <v>0</v>
      </c>
      <c r="AA151" t="s">
        <v>213</v>
      </c>
      <c r="AB151">
        <v>170826004896</v>
      </c>
      <c r="AC151" t="s">
        <v>214</v>
      </c>
      <c r="AD151" t="s">
        <v>214</v>
      </c>
      <c r="AE151">
        <v>8</v>
      </c>
      <c r="AF151">
        <v>5</v>
      </c>
      <c r="AG151" t="s">
        <v>91</v>
      </c>
      <c r="AH151" t="s">
        <v>210</v>
      </c>
      <c r="AI151" t="s">
        <v>74</v>
      </c>
      <c r="AJ151" t="s">
        <v>75</v>
      </c>
      <c r="AK151" t="s">
        <v>76</v>
      </c>
      <c r="AL151" t="s">
        <v>215</v>
      </c>
      <c r="AM151" t="s">
        <v>78</v>
      </c>
      <c r="AN151" t="b">
        <v>1</v>
      </c>
      <c r="AO151">
        <v>1028</v>
      </c>
      <c r="AP151" t="s">
        <v>65</v>
      </c>
      <c r="AQ151" t="b">
        <v>1</v>
      </c>
      <c r="AR151">
        <v>0</v>
      </c>
      <c r="AS151">
        <v>0</v>
      </c>
      <c r="AT151">
        <v>0</v>
      </c>
      <c r="AU151">
        <v>0</v>
      </c>
      <c r="AV151">
        <v>0</v>
      </c>
      <c r="AW151" t="b">
        <v>0</v>
      </c>
      <c r="AX151" t="b">
        <v>0</v>
      </c>
      <c r="AY151" t="s">
        <v>79</v>
      </c>
      <c r="AZ151" t="b">
        <v>0</v>
      </c>
      <c r="BA151" t="s">
        <v>216</v>
      </c>
      <c r="BB151" t="s">
        <v>217</v>
      </c>
      <c r="BC151" t="s">
        <v>218</v>
      </c>
      <c r="BD151" t="b">
        <v>0</v>
      </c>
      <c r="BE151">
        <v>1000</v>
      </c>
      <c r="BF151" t="b">
        <v>0</v>
      </c>
    </row>
    <row r="152" spans="1:58" x14ac:dyDescent="0.25">
      <c r="A152">
        <v>3.5</v>
      </c>
      <c r="B152">
        <v>50684</v>
      </c>
      <c r="C152" t="s">
        <v>205</v>
      </c>
      <c r="D152" t="s">
        <v>206</v>
      </c>
      <c r="E152">
        <v>0.56666666666666665</v>
      </c>
      <c r="G152">
        <v>1</v>
      </c>
      <c r="K152" t="b">
        <v>0</v>
      </c>
      <c r="M152">
        <v>124269780</v>
      </c>
      <c r="N152" t="s">
        <v>208</v>
      </c>
      <c r="O152">
        <v>1787025993463</v>
      </c>
      <c r="P152" t="s">
        <v>65</v>
      </c>
      <c r="S152" t="s">
        <v>191</v>
      </c>
      <c r="T152" t="s">
        <v>67</v>
      </c>
      <c r="U152" t="s">
        <v>219</v>
      </c>
      <c r="V152">
        <v>13832</v>
      </c>
      <c r="W152" t="b">
        <v>0</v>
      </c>
      <c r="X152">
        <v>0</v>
      </c>
      <c r="Y152" t="s">
        <v>220</v>
      </c>
      <c r="Z152" t="b">
        <v>1</v>
      </c>
      <c r="AA152" t="s">
        <v>221</v>
      </c>
      <c r="AB152">
        <v>180826009185</v>
      </c>
      <c r="AC152" t="s">
        <v>214</v>
      </c>
      <c r="AD152" t="s">
        <v>214</v>
      </c>
      <c r="AE152">
        <v>10</v>
      </c>
      <c r="AF152">
        <v>5</v>
      </c>
      <c r="AG152" t="s">
        <v>91</v>
      </c>
      <c r="AH152" t="s">
        <v>191</v>
      </c>
      <c r="AI152" t="s">
        <v>74</v>
      </c>
      <c r="AJ152" t="s">
        <v>75</v>
      </c>
      <c r="AK152" t="s">
        <v>76</v>
      </c>
      <c r="AL152" t="s">
        <v>222</v>
      </c>
      <c r="AM152" t="s">
        <v>78</v>
      </c>
      <c r="AN152" t="b">
        <v>1</v>
      </c>
      <c r="AO152">
        <v>1028</v>
      </c>
      <c r="AP152" t="s">
        <v>65</v>
      </c>
      <c r="AQ152" t="b">
        <v>1</v>
      </c>
      <c r="AR152">
        <v>0</v>
      </c>
      <c r="AS152">
        <v>0</v>
      </c>
      <c r="AT152">
        <v>0</v>
      </c>
      <c r="AU152">
        <v>0</v>
      </c>
      <c r="AV152">
        <v>0</v>
      </c>
      <c r="AW152" t="b">
        <v>0</v>
      </c>
      <c r="AX152" t="b">
        <v>0</v>
      </c>
      <c r="AY152" t="s">
        <v>79</v>
      </c>
      <c r="AZ152" t="b">
        <v>0</v>
      </c>
      <c r="BA152" t="s">
        <v>216</v>
      </c>
      <c r="BB152" t="s">
        <v>223</v>
      </c>
      <c r="BC152" t="s">
        <v>224</v>
      </c>
      <c r="BD152" t="b">
        <v>0</v>
      </c>
      <c r="BE152">
        <v>100</v>
      </c>
      <c r="BF152" t="b">
        <v>0</v>
      </c>
    </row>
    <row r="153" spans="1:58" x14ac:dyDescent="0.25">
      <c r="A153">
        <v>3.4</v>
      </c>
      <c r="B153">
        <v>47884</v>
      </c>
      <c r="C153" t="s">
        <v>83</v>
      </c>
      <c r="D153" t="s">
        <v>84</v>
      </c>
      <c r="E153">
        <v>0.62777777777777777</v>
      </c>
      <c r="G153">
        <v>1</v>
      </c>
      <c r="H153">
        <v>3730</v>
      </c>
      <c r="K153" t="b">
        <v>0</v>
      </c>
      <c r="M153">
        <v>2904476</v>
      </c>
      <c r="N153" t="s">
        <v>85</v>
      </c>
      <c r="O153">
        <v>1787808879920</v>
      </c>
      <c r="P153" t="s">
        <v>65</v>
      </c>
      <c r="S153" t="s">
        <v>86</v>
      </c>
      <c r="T153" t="s">
        <v>67</v>
      </c>
      <c r="U153" t="s">
        <v>87</v>
      </c>
      <c r="V153">
        <v>194354</v>
      </c>
      <c r="W153" t="b">
        <v>0</v>
      </c>
      <c r="X153">
        <v>0</v>
      </c>
      <c r="Y153" t="s">
        <v>88</v>
      </c>
      <c r="Z153" t="b">
        <v>1</v>
      </c>
      <c r="AA153" t="s">
        <v>89</v>
      </c>
      <c r="AB153">
        <v>270826010477</v>
      </c>
      <c r="AC153" t="s">
        <v>90</v>
      </c>
      <c r="AD153" t="s">
        <v>90</v>
      </c>
      <c r="AE153">
        <v>7</v>
      </c>
      <c r="AF153">
        <v>4</v>
      </c>
      <c r="AG153" t="s">
        <v>91</v>
      </c>
      <c r="AH153" t="s">
        <v>86</v>
      </c>
      <c r="AI153" t="s">
        <v>74</v>
      </c>
      <c r="AJ153" t="s">
        <v>75</v>
      </c>
      <c r="AK153" t="s">
        <v>76</v>
      </c>
      <c r="AL153" t="s">
        <v>92</v>
      </c>
      <c r="AM153" t="s">
        <v>78</v>
      </c>
      <c r="AN153" t="b">
        <v>1</v>
      </c>
      <c r="AO153">
        <v>1020</v>
      </c>
      <c r="AP153" t="s">
        <v>65</v>
      </c>
      <c r="AQ153" t="b">
        <v>1</v>
      </c>
      <c r="AR153">
        <v>0</v>
      </c>
      <c r="AS153">
        <v>0</v>
      </c>
      <c r="AT153">
        <v>0</v>
      </c>
      <c r="AU153">
        <v>0</v>
      </c>
      <c r="AV153">
        <v>0</v>
      </c>
      <c r="AW153" t="b">
        <v>0</v>
      </c>
      <c r="AX153" t="b">
        <v>0</v>
      </c>
      <c r="AY153" t="s">
        <v>79</v>
      </c>
      <c r="AZ153" t="b">
        <v>0</v>
      </c>
      <c r="BA153" t="s">
        <v>93</v>
      </c>
      <c r="BB153" t="s">
        <v>94</v>
      </c>
      <c r="BC153" t="s">
        <v>82</v>
      </c>
      <c r="BD153" t="b">
        <v>0</v>
      </c>
      <c r="BF153" t="b">
        <v>0</v>
      </c>
    </row>
    <row r="154" spans="1:58" x14ac:dyDescent="0.25">
      <c r="A154">
        <v>3.8</v>
      </c>
      <c r="B154">
        <v>717</v>
      </c>
      <c r="C154" t="s">
        <v>225</v>
      </c>
      <c r="D154" t="s">
        <v>226</v>
      </c>
      <c r="E154">
        <v>0.67569444444444449</v>
      </c>
      <c r="G154">
        <v>1</v>
      </c>
      <c r="K154" t="b">
        <v>0</v>
      </c>
      <c r="M154">
        <v>114714</v>
      </c>
      <c r="N154" t="s">
        <v>227</v>
      </c>
      <c r="O154">
        <v>1787294628965</v>
      </c>
      <c r="P154" t="s">
        <v>65</v>
      </c>
      <c r="S154" t="s">
        <v>191</v>
      </c>
      <c r="T154" t="s">
        <v>67</v>
      </c>
      <c r="U154" t="s">
        <v>228</v>
      </c>
      <c r="V154">
        <v>4586641</v>
      </c>
      <c r="W154" t="b">
        <v>0</v>
      </c>
      <c r="X154">
        <v>0</v>
      </c>
      <c r="Y154" t="s">
        <v>229</v>
      </c>
      <c r="Z154" t="b">
        <v>1</v>
      </c>
      <c r="AA154" t="s">
        <v>230</v>
      </c>
      <c r="AB154">
        <v>210826009532</v>
      </c>
      <c r="AC154" t="s">
        <v>231</v>
      </c>
      <c r="AD154" t="s">
        <v>231</v>
      </c>
      <c r="AE154">
        <v>10</v>
      </c>
      <c r="AF154">
        <v>5</v>
      </c>
      <c r="AG154" t="s">
        <v>91</v>
      </c>
      <c r="AH154" t="s">
        <v>191</v>
      </c>
      <c r="AI154" t="s">
        <v>74</v>
      </c>
      <c r="AJ154" t="s">
        <v>75</v>
      </c>
      <c r="AK154" t="s">
        <v>76</v>
      </c>
      <c r="AL154" t="s">
        <v>232</v>
      </c>
      <c r="AM154" t="s">
        <v>78</v>
      </c>
      <c r="AN154" t="b">
        <v>1</v>
      </c>
      <c r="AO154">
        <v>1082</v>
      </c>
      <c r="AP154" t="s">
        <v>65</v>
      </c>
      <c r="AQ154" t="b">
        <v>1</v>
      </c>
      <c r="AR154">
        <v>0</v>
      </c>
      <c r="AS154">
        <v>0</v>
      </c>
      <c r="AT154">
        <v>0</v>
      </c>
      <c r="AU154">
        <v>0</v>
      </c>
      <c r="AV154">
        <v>0</v>
      </c>
      <c r="AW154" t="b">
        <v>0</v>
      </c>
      <c r="AX154" t="b">
        <v>0</v>
      </c>
      <c r="AY154" t="s">
        <v>79</v>
      </c>
      <c r="AZ154" t="b">
        <v>0</v>
      </c>
      <c r="BA154" t="s">
        <v>233</v>
      </c>
      <c r="BB154" t="s">
        <v>234</v>
      </c>
      <c r="BC154" t="s">
        <v>82</v>
      </c>
      <c r="BD154" t="b">
        <v>0</v>
      </c>
      <c r="BF154" t="b">
        <v>0</v>
      </c>
    </row>
    <row r="155" spans="1:58" x14ac:dyDescent="0.25">
      <c r="A155">
        <v>2.8</v>
      </c>
      <c r="B155">
        <v>98</v>
      </c>
      <c r="C155" t="s">
        <v>235</v>
      </c>
      <c r="D155" t="s">
        <v>236</v>
      </c>
      <c r="E155">
        <v>0.65069444444444446</v>
      </c>
      <c r="G155">
        <v>1</v>
      </c>
      <c r="H155">
        <v>16255</v>
      </c>
      <c r="K155" t="b">
        <v>0</v>
      </c>
      <c r="M155">
        <v>4804684</v>
      </c>
      <c r="N155" t="s">
        <v>237</v>
      </c>
      <c r="O155">
        <v>1787638049264</v>
      </c>
      <c r="P155" t="s">
        <v>65</v>
      </c>
      <c r="S155" t="s">
        <v>238</v>
      </c>
      <c r="T155" t="s">
        <v>67</v>
      </c>
      <c r="U155" t="s">
        <v>239</v>
      </c>
      <c r="V155">
        <v>4582011</v>
      </c>
      <c r="W155" t="b">
        <v>0</v>
      </c>
      <c r="X155">
        <v>0</v>
      </c>
      <c r="Y155" t="s">
        <v>240</v>
      </c>
      <c r="Z155" t="b">
        <v>1</v>
      </c>
      <c r="AA155" t="s">
        <v>241</v>
      </c>
      <c r="AB155">
        <v>250826012754</v>
      </c>
      <c r="AC155" t="s">
        <v>242</v>
      </c>
      <c r="AD155" t="s">
        <v>242</v>
      </c>
      <c r="AE155">
        <v>5</v>
      </c>
      <c r="AF155">
        <v>2</v>
      </c>
      <c r="AG155" t="s">
        <v>91</v>
      </c>
      <c r="AH155" t="s">
        <v>238</v>
      </c>
      <c r="AI155" t="s">
        <v>74</v>
      </c>
      <c r="AJ155" t="s">
        <v>75</v>
      </c>
      <c r="AK155" t="s">
        <v>76</v>
      </c>
      <c r="AL155" t="s">
        <v>135</v>
      </c>
      <c r="AM155" t="s">
        <v>78</v>
      </c>
      <c r="AN155" t="b">
        <v>1</v>
      </c>
      <c r="AO155">
        <v>1045</v>
      </c>
      <c r="AP155" t="s">
        <v>65</v>
      </c>
      <c r="AQ155" t="b">
        <v>1</v>
      </c>
      <c r="AR155">
        <v>0</v>
      </c>
      <c r="AS155">
        <v>0</v>
      </c>
      <c r="AT155">
        <v>0</v>
      </c>
      <c r="AU155">
        <v>0</v>
      </c>
      <c r="AV155">
        <v>0</v>
      </c>
      <c r="AW155" t="b">
        <v>0</v>
      </c>
      <c r="AX155" t="b">
        <v>0</v>
      </c>
      <c r="AY155" t="s">
        <v>79</v>
      </c>
      <c r="AZ155" t="b">
        <v>0</v>
      </c>
      <c r="BA155" t="s">
        <v>243</v>
      </c>
      <c r="BB155" t="s">
        <v>244</v>
      </c>
      <c r="BC155" t="s">
        <v>82</v>
      </c>
      <c r="BD155" t="b">
        <v>0</v>
      </c>
      <c r="BF155" t="b">
        <v>0</v>
      </c>
    </row>
    <row r="156" spans="1:58" x14ac:dyDescent="0.25">
      <c r="A156">
        <v>3.9</v>
      </c>
      <c r="B156">
        <v>4437</v>
      </c>
      <c r="C156" t="s">
        <v>245</v>
      </c>
      <c r="D156" t="s">
        <v>246</v>
      </c>
      <c r="E156">
        <v>0.89583333333333337</v>
      </c>
      <c r="G156">
        <v>1</v>
      </c>
      <c r="K156" t="b">
        <v>0</v>
      </c>
      <c r="M156">
        <v>3974784</v>
      </c>
      <c r="N156" t="s">
        <v>247</v>
      </c>
      <c r="O156">
        <v>1787659232918</v>
      </c>
      <c r="P156" t="s">
        <v>65</v>
      </c>
      <c r="S156" t="s">
        <v>181</v>
      </c>
      <c r="T156" t="s">
        <v>67</v>
      </c>
      <c r="U156" t="s">
        <v>239</v>
      </c>
      <c r="V156">
        <v>4608615</v>
      </c>
      <c r="W156" t="b">
        <v>0</v>
      </c>
      <c r="X156">
        <v>0</v>
      </c>
      <c r="Y156" t="s">
        <v>248</v>
      </c>
      <c r="Z156" t="b">
        <v>1</v>
      </c>
      <c r="AA156" t="s">
        <v>249</v>
      </c>
      <c r="AB156">
        <v>170426013396</v>
      </c>
      <c r="AC156" t="s">
        <v>250</v>
      </c>
      <c r="AD156" t="s">
        <v>250</v>
      </c>
      <c r="AE156">
        <v>7</v>
      </c>
      <c r="AF156">
        <v>3</v>
      </c>
      <c r="AG156" t="s">
        <v>91</v>
      </c>
      <c r="AH156" t="s">
        <v>181</v>
      </c>
      <c r="AI156" t="s">
        <v>74</v>
      </c>
      <c r="AJ156" t="s">
        <v>75</v>
      </c>
      <c r="AK156" t="s">
        <v>76</v>
      </c>
      <c r="AL156" t="s">
        <v>251</v>
      </c>
      <c r="AM156" t="s">
        <v>78</v>
      </c>
      <c r="AN156" t="b">
        <v>1</v>
      </c>
      <c r="AO156">
        <v>1019</v>
      </c>
      <c r="AP156" t="s">
        <v>65</v>
      </c>
      <c r="AQ156" t="b">
        <v>1</v>
      </c>
      <c r="AR156">
        <v>0</v>
      </c>
      <c r="AS156">
        <v>0</v>
      </c>
      <c r="AT156">
        <v>0</v>
      </c>
      <c r="AU156">
        <v>0</v>
      </c>
      <c r="AV156">
        <v>0</v>
      </c>
      <c r="AW156" t="b">
        <v>0</v>
      </c>
      <c r="AX156" t="b">
        <v>0</v>
      </c>
      <c r="AY156" t="s">
        <v>79</v>
      </c>
      <c r="AZ156" t="b">
        <v>0</v>
      </c>
      <c r="BA156" t="s">
        <v>252</v>
      </c>
      <c r="BB156" t="s">
        <v>253</v>
      </c>
      <c r="BC156" t="s">
        <v>224</v>
      </c>
      <c r="BD156" t="b">
        <v>0</v>
      </c>
      <c r="BE156">
        <v>3</v>
      </c>
      <c r="BF156" t="b">
        <v>0</v>
      </c>
    </row>
    <row r="157" spans="1:58" x14ac:dyDescent="0.25">
      <c r="A157">
        <v>3.2</v>
      </c>
      <c r="B157">
        <v>118481</v>
      </c>
      <c r="C157" t="s">
        <v>144</v>
      </c>
      <c r="D157" t="s">
        <v>145</v>
      </c>
      <c r="E157">
        <v>0.8208333333333333</v>
      </c>
      <c r="G157">
        <v>1</v>
      </c>
      <c r="H157">
        <v>2949</v>
      </c>
      <c r="K157" t="b">
        <v>0</v>
      </c>
      <c r="M157">
        <v>892542</v>
      </c>
      <c r="N157" t="s">
        <v>146</v>
      </c>
      <c r="O157">
        <v>1787911934859</v>
      </c>
      <c r="P157" t="s">
        <v>65</v>
      </c>
      <c r="S157" t="s">
        <v>147</v>
      </c>
      <c r="T157" t="s">
        <v>67</v>
      </c>
      <c r="U157" t="s">
        <v>119</v>
      </c>
      <c r="V157">
        <v>223346</v>
      </c>
      <c r="W157" t="b">
        <v>0</v>
      </c>
      <c r="X157">
        <v>0</v>
      </c>
      <c r="Y157" t="s">
        <v>148</v>
      </c>
      <c r="Z157" t="b">
        <v>1</v>
      </c>
      <c r="AA157" t="s">
        <v>149</v>
      </c>
      <c r="AB157">
        <v>280826008430</v>
      </c>
      <c r="AC157" t="s">
        <v>150</v>
      </c>
      <c r="AD157" t="s">
        <v>150</v>
      </c>
      <c r="AE157">
        <v>10</v>
      </c>
      <c r="AF157">
        <v>6</v>
      </c>
      <c r="AG157" t="s">
        <v>91</v>
      </c>
      <c r="AH157" t="s">
        <v>147</v>
      </c>
      <c r="AI157" t="s">
        <v>74</v>
      </c>
      <c r="AJ157" t="s">
        <v>75</v>
      </c>
      <c r="AK157" t="s">
        <v>76</v>
      </c>
      <c r="AL157" t="s">
        <v>151</v>
      </c>
      <c r="AM157" t="s">
        <v>78</v>
      </c>
      <c r="AN157" t="b">
        <v>0</v>
      </c>
      <c r="AO157">
        <v>1019</v>
      </c>
      <c r="AP157" t="s">
        <v>65</v>
      </c>
      <c r="AQ157" t="b">
        <v>1</v>
      </c>
      <c r="AR157">
        <v>0</v>
      </c>
      <c r="AS157">
        <v>0</v>
      </c>
      <c r="AT157">
        <v>0</v>
      </c>
      <c r="AU157">
        <v>0</v>
      </c>
      <c r="AV157">
        <v>0</v>
      </c>
      <c r="AW157" t="b">
        <v>0</v>
      </c>
      <c r="AX157" t="b">
        <v>0</v>
      </c>
      <c r="AY157" t="s">
        <v>79</v>
      </c>
      <c r="AZ157" t="b">
        <v>0</v>
      </c>
      <c r="BA157" t="s">
        <v>152</v>
      </c>
      <c r="BB157" t="s">
        <v>153</v>
      </c>
      <c r="BC157" t="s">
        <v>82</v>
      </c>
      <c r="BD157" t="b">
        <v>0</v>
      </c>
      <c r="BF157" t="b">
        <v>0</v>
      </c>
    </row>
    <row r="158" spans="1:58" x14ac:dyDescent="0.25">
      <c r="A158">
        <v>3.5</v>
      </c>
      <c r="B158">
        <v>50684</v>
      </c>
      <c r="C158" t="s">
        <v>205</v>
      </c>
      <c r="D158" t="s">
        <v>206</v>
      </c>
      <c r="E158">
        <v>0.90694444444444444</v>
      </c>
      <c r="G158">
        <v>1</v>
      </c>
      <c r="I158">
        <v>1</v>
      </c>
      <c r="J158" t="s">
        <v>207</v>
      </c>
      <c r="K158" t="b">
        <v>0</v>
      </c>
      <c r="M158">
        <v>124269780</v>
      </c>
      <c r="N158" t="s">
        <v>208</v>
      </c>
      <c r="O158">
        <v>1787573805796</v>
      </c>
      <c r="P158" t="s">
        <v>65</v>
      </c>
      <c r="Q158" t="s">
        <v>209</v>
      </c>
      <c r="R158" t="b">
        <v>0</v>
      </c>
      <c r="S158" t="s">
        <v>210</v>
      </c>
      <c r="T158" t="s">
        <v>67</v>
      </c>
      <c r="U158" t="s">
        <v>211</v>
      </c>
      <c r="V158">
        <v>13832</v>
      </c>
      <c r="W158" t="b">
        <v>0</v>
      </c>
      <c r="X158">
        <v>0</v>
      </c>
      <c r="Y158" t="s">
        <v>212</v>
      </c>
      <c r="Z158" t="b">
        <v>0</v>
      </c>
      <c r="AA158" t="s">
        <v>213</v>
      </c>
      <c r="AB158">
        <v>170826004896</v>
      </c>
      <c r="AC158" t="s">
        <v>214</v>
      </c>
      <c r="AD158" t="s">
        <v>214</v>
      </c>
      <c r="AE158">
        <v>8</v>
      </c>
      <c r="AF158">
        <v>5</v>
      </c>
      <c r="AG158" t="s">
        <v>91</v>
      </c>
      <c r="AH158" t="s">
        <v>210</v>
      </c>
      <c r="AI158" t="s">
        <v>74</v>
      </c>
      <c r="AJ158" t="s">
        <v>75</v>
      </c>
      <c r="AK158" t="s">
        <v>76</v>
      </c>
      <c r="AL158" t="s">
        <v>215</v>
      </c>
      <c r="AM158" t="s">
        <v>78</v>
      </c>
      <c r="AN158" t="b">
        <v>1</v>
      </c>
      <c r="AO158">
        <v>1028</v>
      </c>
      <c r="AP158" t="s">
        <v>65</v>
      </c>
      <c r="AQ158" t="b">
        <v>1</v>
      </c>
      <c r="AR158">
        <v>0</v>
      </c>
      <c r="AS158">
        <v>0</v>
      </c>
      <c r="AT158">
        <v>0</v>
      </c>
      <c r="AU158">
        <v>0</v>
      </c>
      <c r="AV158">
        <v>0</v>
      </c>
      <c r="AW158" t="b">
        <v>0</v>
      </c>
      <c r="AX158" t="b">
        <v>0</v>
      </c>
      <c r="AY158" t="s">
        <v>79</v>
      </c>
      <c r="AZ158" t="b">
        <v>0</v>
      </c>
      <c r="BA158" t="s">
        <v>216</v>
      </c>
      <c r="BB158" t="s">
        <v>217</v>
      </c>
      <c r="BC158" t="s">
        <v>218</v>
      </c>
      <c r="BD158" t="b">
        <v>0</v>
      </c>
      <c r="BE158">
        <v>1000</v>
      </c>
      <c r="BF158" t="b">
        <v>0</v>
      </c>
    </row>
    <row r="159" spans="1:58" x14ac:dyDescent="0.25">
      <c r="A159">
        <v>3.5</v>
      </c>
      <c r="B159">
        <v>50684</v>
      </c>
      <c r="C159" t="s">
        <v>205</v>
      </c>
      <c r="D159" t="s">
        <v>206</v>
      </c>
      <c r="E159">
        <v>0.90694444444444444</v>
      </c>
      <c r="G159">
        <v>1</v>
      </c>
      <c r="K159" t="b">
        <v>0</v>
      </c>
      <c r="M159">
        <v>124269780</v>
      </c>
      <c r="N159" t="s">
        <v>208</v>
      </c>
      <c r="O159">
        <v>1787573809755</v>
      </c>
      <c r="P159" t="s">
        <v>65</v>
      </c>
      <c r="S159" t="s">
        <v>254</v>
      </c>
      <c r="T159" t="s">
        <v>67</v>
      </c>
      <c r="U159" t="s">
        <v>211</v>
      </c>
      <c r="V159">
        <v>13832</v>
      </c>
      <c r="W159" t="b">
        <v>0</v>
      </c>
      <c r="X159">
        <v>0</v>
      </c>
      <c r="Y159" t="s">
        <v>255</v>
      </c>
      <c r="Z159" t="b">
        <v>1</v>
      </c>
      <c r="AA159" t="s">
        <v>213</v>
      </c>
      <c r="AB159">
        <v>170826030661</v>
      </c>
      <c r="AC159" t="s">
        <v>214</v>
      </c>
      <c r="AD159" t="s">
        <v>214</v>
      </c>
      <c r="AE159">
        <v>11</v>
      </c>
      <c r="AF159">
        <v>9</v>
      </c>
      <c r="AG159" t="s">
        <v>91</v>
      </c>
      <c r="AH159" t="s">
        <v>254</v>
      </c>
      <c r="AI159" t="s">
        <v>74</v>
      </c>
      <c r="AJ159" t="s">
        <v>75</v>
      </c>
      <c r="AK159" t="s">
        <v>76</v>
      </c>
      <c r="AL159" t="s">
        <v>215</v>
      </c>
      <c r="AM159" t="s">
        <v>78</v>
      </c>
      <c r="AN159" t="b">
        <v>1</v>
      </c>
      <c r="AO159">
        <v>1028</v>
      </c>
      <c r="AP159" t="s">
        <v>65</v>
      </c>
      <c r="AQ159" t="b">
        <v>1</v>
      </c>
      <c r="AR159">
        <v>0</v>
      </c>
      <c r="AS159">
        <v>0</v>
      </c>
      <c r="AT159">
        <v>0</v>
      </c>
      <c r="AU159">
        <v>0</v>
      </c>
      <c r="AV159">
        <v>0</v>
      </c>
      <c r="AW159" t="b">
        <v>0</v>
      </c>
      <c r="AX159" t="b">
        <v>0</v>
      </c>
      <c r="AY159" t="s">
        <v>79</v>
      </c>
      <c r="AZ159" t="b">
        <v>0</v>
      </c>
      <c r="BA159" t="s">
        <v>216</v>
      </c>
      <c r="BB159" t="s">
        <v>217</v>
      </c>
      <c r="BC159" t="s">
        <v>218</v>
      </c>
      <c r="BD159" t="b">
        <v>0</v>
      </c>
      <c r="BE159">
        <v>1000</v>
      </c>
      <c r="BF159" t="b">
        <v>0</v>
      </c>
    </row>
    <row r="160" spans="1:58" x14ac:dyDescent="0.25">
      <c r="A160">
        <v>3.6</v>
      </c>
      <c r="B160">
        <v>27553</v>
      </c>
      <c r="C160" t="s">
        <v>256</v>
      </c>
      <c r="D160" t="s">
        <v>257</v>
      </c>
      <c r="E160">
        <v>0.62916666666666665</v>
      </c>
      <c r="G160">
        <v>1</v>
      </c>
      <c r="K160" t="b">
        <v>0</v>
      </c>
      <c r="M160">
        <v>124141072</v>
      </c>
      <c r="N160" t="s">
        <v>258</v>
      </c>
      <c r="O160">
        <v>1787808986220</v>
      </c>
      <c r="P160" t="s">
        <v>65</v>
      </c>
      <c r="S160" t="s">
        <v>259</v>
      </c>
      <c r="T160" t="s">
        <v>67</v>
      </c>
      <c r="U160" t="s">
        <v>87</v>
      </c>
      <c r="V160">
        <v>7519247</v>
      </c>
      <c r="W160" t="b">
        <v>0</v>
      </c>
      <c r="X160">
        <v>0</v>
      </c>
      <c r="Y160" t="s">
        <v>260</v>
      </c>
      <c r="Z160" t="b">
        <v>1</v>
      </c>
      <c r="AA160" t="s">
        <v>261</v>
      </c>
      <c r="AB160">
        <v>270826010600</v>
      </c>
      <c r="AC160" t="s">
        <v>262</v>
      </c>
      <c r="AD160" t="s">
        <v>262</v>
      </c>
      <c r="AE160">
        <v>11</v>
      </c>
      <c r="AF160">
        <v>6</v>
      </c>
      <c r="AG160" t="s">
        <v>91</v>
      </c>
      <c r="AH160" t="s">
        <v>259</v>
      </c>
      <c r="AI160" t="s">
        <v>74</v>
      </c>
      <c r="AJ160" t="s">
        <v>263</v>
      </c>
      <c r="AK160" t="s">
        <v>76</v>
      </c>
      <c r="AL160" t="s">
        <v>264</v>
      </c>
      <c r="AM160" t="s">
        <v>78</v>
      </c>
      <c r="AN160" t="b">
        <v>1</v>
      </c>
      <c r="AO160">
        <v>1019</v>
      </c>
      <c r="AP160" t="s">
        <v>65</v>
      </c>
      <c r="AQ160" t="b">
        <v>0</v>
      </c>
      <c r="AS160">
        <v>2000000</v>
      </c>
      <c r="AU160">
        <v>1000000</v>
      </c>
      <c r="AV160">
        <v>0</v>
      </c>
      <c r="AW160" t="b">
        <v>0</v>
      </c>
      <c r="AX160" t="b">
        <v>0</v>
      </c>
      <c r="AY160" t="s">
        <v>79</v>
      </c>
      <c r="AZ160" t="b">
        <v>0</v>
      </c>
      <c r="BA160" t="s">
        <v>265</v>
      </c>
      <c r="BB160" t="s">
        <v>266</v>
      </c>
      <c r="BC160" t="s">
        <v>82</v>
      </c>
      <c r="BD160" t="b">
        <v>0</v>
      </c>
      <c r="BE160">
        <v>20</v>
      </c>
      <c r="BF160" t="b">
        <v>0</v>
      </c>
    </row>
    <row r="161" spans="1:58" x14ac:dyDescent="0.25">
      <c r="A161">
        <v>3.5</v>
      </c>
      <c r="B161">
        <v>50684</v>
      </c>
      <c r="C161" t="s">
        <v>205</v>
      </c>
      <c r="D161" t="s">
        <v>206</v>
      </c>
      <c r="E161">
        <v>0.90694444444444444</v>
      </c>
      <c r="G161">
        <v>1</v>
      </c>
      <c r="K161" t="b">
        <v>0</v>
      </c>
      <c r="M161">
        <v>124269780</v>
      </c>
      <c r="N161" t="s">
        <v>208</v>
      </c>
      <c r="O161">
        <v>1787573816905</v>
      </c>
      <c r="P161" t="s">
        <v>65</v>
      </c>
      <c r="S161" t="s">
        <v>267</v>
      </c>
      <c r="T161" t="s">
        <v>67</v>
      </c>
      <c r="U161" t="s">
        <v>211</v>
      </c>
      <c r="V161">
        <v>13832</v>
      </c>
      <c r="W161" t="b">
        <v>0</v>
      </c>
      <c r="X161">
        <v>0</v>
      </c>
      <c r="Y161" t="s">
        <v>268</v>
      </c>
      <c r="Z161" t="b">
        <v>1</v>
      </c>
      <c r="AA161" t="s">
        <v>213</v>
      </c>
      <c r="AB161">
        <v>170826030591</v>
      </c>
      <c r="AC161" t="s">
        <v>214</v>
      </c>
      <c r="AD161" t="s">
        <v>214</v>
      </c>
      <c r="AE161">
        <v>9</v>
      </c>
      <c r="AF161">
        <v>7</v>
      </c>
      <c r="AG161" t="s">
        <v>91</v>
      </c>
      <c r="AH161" t="s">
        <v>267</v>
      </c>
      <c r="AI161" t="s">
        <v>74</v>
      </c>
      <c r="AJ161" t="s">
        <v>75</v>
      </c>
      <c r="AK161" t="s">
        <v>76</v>
      </c>
      <c r="AL161" t="s">
        <v>215</v>
      </c>
      <c r="AM161" t="s">
        <v>78</v>
      </c>
      <c r="AN161" t="b">
        <v>1</v>
      </c>
      <c r="AO161">
        <v>1028</v>
      </c>
      <c r="AP161" t="s">
        <v>65</v>
      </c>
      <c r="AQ161" t="b">
        <v>1</v>
      </c>
      <c r="AR161">
        <v>0</v>
      </c>
      <c r="AS161">
        <v>0</v>
      </c>
      <c r="AT161">
        <v>0</v>
      </c>
      <c r="AU161">
        <v>0</v>
      </c>
      <c r="AV161">
        <v>0</v>
      </c>
      <c r="AW161" t="b">
        <v>0</v>
      </c>
      <c r="AX161" t="b">
        <v>0</v>
      </c>
      <c r="AY161" t="s">
        <v>79</v>
      </c>
      <c r="AZ161" t="b">
        <v>0</v>
      </c>
      <c r="BA161" t="s">
        <v>216</v>
      </c>
      <c r="BB161" t="s">
        <v>217</v>
      </c>
      <c r="BC161" t="s">
        <v>218</v>
      </c>
      <c r="BD161" t="b">
        <v>0</v>
      </c>
      <c r="BE161">
        <v>1000</v>
      </c>
      <c r="BF161" t="b">
        <v>0</v>
      </c>
    </row>
    <row r="162" spans="1:58" x14ac:dyDescent="0.25">
      <c r="A162">
        <v>3.8</v>
      </c>
      <c r="B162">
        <v>6281</v>
      </c>
      <c r="C162" t="s">
        <v>176</v>
      </c>
      <c r="D162" t="s">
        <v>177</v>
      </c>
      <c r="E162">
        <v>0.90138888888888891</v>
      </c>
      <c r="F162" t="s">
        <v>178</v>
      </c>
      <c r="G162">
        <v>1</v>
      </c>
      <c r="H162">
        <v>15127</v>
      </c>
      <c r="K162" t="b">
        <v>1</v>
      </c>
      <c r="L162" t="s">
        <v>179</v>
      </c>
      <c r="M162">
        <v>1369478</v>
      </c>
      <c r="N162" t="s">
        <v>180</v>
      </c>
      <c r="O162">
        <v>1766146126000</v>
      </c>
      <c r="P162" t="s">
        <v>65</v>
      </c>
      <c r="S162" t="s">
        <v>181</v>
      </c>
      <c r="T162" t="s">
        <v>67</v>
      </c>
      <c r="U162" t="s">
        <v>68</v>
      </c>
      <c r="V162">
        <v>164080</v>
      </c>
      <c r="W162" t="b">
        <v>0</v>
      </c>
      <c r="X162">
        <v>0</v>
      </c>
      <c r="Y162" t="s">
        <v>182</v>
      </c>
      <c r="Z162" t="b">
        <v>0</v>
      </c>
      <c r="AA162" t="s">
        <v>183</v>
      </c>
      <c r="AB162">
        <v>191225503735</v>
      </c>
      <c r="AC162" t="s">
        <v>184</v>
      </c>
      <c r="AD162" t="s">
        <v>184</v>
      </c>
      <c r="AE162">
        <v>7</v>
      </c>
      <c r="AF162">
        <v>3</v>
      </c>
      <c r="AG162" t="s">
        <v>73</v>
      </c>
      <c r="AH162" t="s">
        <v>181</v>
      </c>
      <c r="AI162" t="s">
        <v>74</v>
      </c>
      <c r="AJ162" t="s">
        <v>75</v>
      </c>
      <c r="AK162" t="s">
        <v>76</v>
      </c>
      <c r="AL162" t="s">
        <v>135</v>
      </c>
      <c r="AM162" t="s">
        <v>78</v>
      </c>
      <c r="AN162" t="b">
        <v>0</v>
      </c>
      <c r="AO162">
        <v>1019</v>
      </c>
      <c r="AP162" t="s">
        <v>65</v>
      </c>
      <c r="AQ162" t="b">
        <v>1</v>
      </c>
      <c r="AR162">
        <v>0</v>
      </c>
      <c r="AS162">
        <v>0</v>
      </c>
      <c r="AT162">
        <v>0</v>
      </c>
      <c r="AU162">
        <v>0</v>
      </c>
      <c r="AV162">
        <v>0</v>
      </c>
      <c r="AW162" t="b">
        <v>0</v>
      </c>
      <c r="AX162" t="b">
        <v>0</v>
      </c>
      <c r="AY162" t="s">
        <v>79</v>
      </c>
      <c r="AZ162" t="b">
        <v>0</v>
      </c>
      <c r="BA162" t="s">
        <v>185</v>
      </c>
      <c r="BB162" t="s">
        <v>186</v>
      </c>
      <c r="BC162" t="s">
        <v>187</v>
      </c>
      <c r="BD162" t="b">
        <v>0</v>
      </c>
      <c r="BF162" t="b">
        <v>0</v>
      </c>
    </row>
    <row r="163" spans="1:58" x14ac:dyDescent="0.25">
      <c r="A163">
        <v>3.4</v>
      </c>
      <c r="B163">
        <v>47884</v>
      </c>
      <c r="C163" t="s">
        <v>83</v>
      </c>
      <c r="D163" t="s">
        <v>84</v>
      </c>
      <c r="E163">
        <v>0.62777777777777777</v>
      </c>
      <c r="G163">
        <v>1</v>
      </c>
      <c r="H163">
        <v>3730</v>
      </c>
      <c r="K163" t="b">
        <v>0</v>
      </c>
      <c r="M163">
        <v>2904476</v>
      </c>
      <c r="N163" t="s">
        <v>85</v>
      </c>
      <c r="O163">
        <v>1787808879920</v>
      </c>
      <c r="P163" t="s">
        <v>65</v>
      </c>
      <c r="S163" t="s">
        <v>86</v>
      </c>
      <c r="T163" t="s">
        <v>67</v>
      </c>
      <c r="U163" t="s">
        <v>87</v>
      </c>
      <c r="V163">
        <v>194354</v>
      </c>
      <c r="W163" t="b">
        <v>0</v>
      </c>
      <c r="X163">
        <v>0</v>
      </c>
      <c r="Y163" t="s">
        <v>88</v>
      </c>
      <c r="Z163" t="b">
        <v>1</v>
      </c>
      <c r="AA163" t="s">
        <v>89</v>
      </c>
      <c r="AB163">
        <v>270826010477</v>
      </c>
      <c r="AC163" t="s">
        <v>90</v>
      </c>
      <c r="AD163" t="s">
        <v>90</v>
      </c>
      <c r="AE163">
        <v>7</v>
      </c>
      <c r="AF163">
        <v>4</v>
      </c>
      <c r="AG163" t="s">
        <v>91</v>
      </c>
      <c r="AH163" t="s">
        <v>86</v>
      </c>
      <c r="AI163" t="s">
        <v>74</v>
      </c>
      <c r="AJ163" t="s">
        <v>75</v>
      </c>
      <c r="AK163" t="s">
        <v>76</v>
      </c>
      <c r="AL163" t="s">
        <v>92</v>
      </c>
      <c r="AM163" t="s">
        <v>78</v>
      </c>
      <c r="AN163" t="b">
        <v>1</v>
      </c>
      <c r="AO163">
        <v>1020</v>
      </c>
      <c r="AP163" t="s">
        <v>65</v>
      </c>
      <c r="AQ163" t="b">
        <v>1</v>
      </c>
      <c r="AR163">
        <v>0</v>
      </c>
      <c r="AS163">
        <v>0</v>
      </c>
      <c r="AT163">
        <v>0</v>
      </c>
      <c r="AU163">
        <v>0</v>
      </c>
      <c r="AV163">
        <v>0</v>
      </c>
      <c r="AW163" t="b">
        <v>0</v>
      </c>
      <c r="AX163" t="b">
        <v>0</v>
      </c>
      <c r="AY163" t="s">
        <v>79</v>
      </c>
      <c r="AZ163" t="b">
        <v>0</v>
      </c>
      <c r="BA163" t="s">
        <v>93</v>
      </c>
      <c r="BB163" t="s">
        <v>94</v>
      </c>
      <c r="BC163" t="s">
        <v>82</v>
      </c>
      <c r="BD163" t="b">
        <v>0</v>
      </c>
      <c r="BF163" t="b">
        <v>0</v>
      </c>
    </row>
    <row r="164" spans="1:58" x14ac:dyDescent="0.25">
      <c r="A164">
        <v>3.3</v>
      </c>
      <c r="B164">
        <v>13397</v>
      </c>
      <c r="C164" t="s">
        <v>95</v>
      </c>
      <c r="D164" t="s">
        <v>96</v>
      </c>
      <c r="E164">
        <v>0.69722222222222219</v>
      </c>
      <c r="G164">
        <v>1</v>
      </c>
      <c r="K164" t="b">
        <v>0</v>
      </c>
      <c r="M164">
        <v>676499</v>
      </c>
      <c r="N164" t="s">
        <v>97</v>
      </c>
      <c r="O164">
        <v>1787728452770</v>
      </c>
      <c r="P164" t="s">
        <v>65</v>
      </c>
      <c r="S164" t="s">
        <v>98</v>
      </c>
      <c r="T164" t="s">
        <v>67</v>
      </c>
      <c r="U164" t="s">
        <v>99</v>
      </c>
      <c r="V164">
        <v>9246</v>
      </c>
      <c r="W164" t="b">
        <v>0</v>
      </c>
      <c r="X164">
        <v>0</v>
      </c>
      <c r="Y164" t="s">
        <v>100</v>
      </c>
      <c r="Z164" t="b">
        <v>1</v>
      </c>
      <c r="AA164" t="s">
        <v>101</v>
      </c>
      <c r="AB164">
        <v>260826016031</v>
      </c>
      <c r="AC164" t="s">
        <v>102</v>
      </c>
      <c r="AD164" t="s">
        <v>102</v>
      </c>
      <c r="AE164">
        <v>8</v>
      </c>
      <c r="AF164">
        <v>4</v>
      </c>
      <c r="AG164" t="s">
        <v>91</v>
      </c>
      <c r="AH164" t="s">
        <v>98</v>
      </c>
      <c r="AI164" t="s">
        <v>74</v>
      </c>
      <c r="AJ164" t="s">
        <v>75</v>
      </c>
      <c r="AK164" t="s">
        <v>76</v>
      </c>
      <c r="AL164" t="s">
        <v>103</v>
      </c>
      <c r="AM164" t="s">
        <v>78</v>
      </c>
      <c r="AN164" t="b">
        <v>1</v>
      </c>
      <c r="AO164">
        <v>1019</v>
      </c>
      <c r="AP164" t="s">
        <v>65</v>
      </c>
      <c r="AQ164" t="b">
        <v>1</v>
      </c>
      <c r="AR164">
        <v>0</v>
      </c>
      <c r="AS164">
        <v>0</v>
      </c>
      <c r="AT164">
        <v>0</v>
      </c>
      <c r="AU164">
        <v>0</v>
      </c>
      <c r="AV164">
        <v>0</v>
      </c>
      <c r="AW164" t="b">
        <v>0</v>
      </c>
      <c r="AX164" t="b">
        <v>0</v>
      </c>
      <c r="AY164" t="s">
        <v>79</v>
      </c>
      <c r="AZ164" t="b">
        <v>0</v>
      </c>
      <c r="BA164" t="s">
        <v>104</v>
      </c>
      <c r="BB164" t="s">
        <v>105</v>
      </c>
      <c r="BC164" t="s">
        <v>82</v>
      </c>
      <c r="BD164" t="b">
        <v>0</v>
      </c>
      <c r="BE164">
        <v>4</v>
      </c>
      <c r="BF164" t="b">
        <v>0</v>
      </c>
    </row>
    <row r="165" spans="1:58" x14ac:dyDescent="0.25">
      <c r="E165">
        <v>0.91874999999999996</v>
      </c>
      <c r="F165" t="s">
        <v>188</v>
      </c>
      <c r="G165">
        <v>1</v>
      </c>
      <c r="K165" t="b">
        <v>1</v>
      </c>
      <c r="L165" t="s">
        <v>189</v>
      </c>
      <c r="M165">
        <v>125076821</v>
      </c>
      <c r="N165" t="s">
        <v>190</v>
      </c>
      <c r="O165">
        <v>1783341207000</v>
      </c>
      <c r="P165" t="s">
        <v>65</v>
      </c>
      <c r="S165" t="s">
        <v>191</v>
      </c>
      <c r="T165" t="s">
        <v>67</v>
      </c>
      <c r="U165" t="s">
        <v>68</v>
      </c>
      <c r="V165">
        <v>7029887</v>
      </c>
      <c r="W165" t="b">
        <v>0</v>
      </c>
      <c r="X165">
        <v>0</v>
      </c>
      <c r="Y165" t="s">
        <v>192</v>
      </c>
      <c r="Z165" t="b">
        <v>0</v>
      </c>
      <c r="AA165" t="s">
        <v>193</v>
      </c>
      <c r="AB165" t="s">
        <v>194</v>
      </c>
      <c r="AC165" t="s">
        <v>195</v>
      </c>
      <c r="AD165" t="s">
        <v>195</v>
      </c>
      <c r="AE165">
        <v>10</v>
      </c>
      <c r="AF165">
        <v>5</v>
      </c>
      <c r="AG165" t="s">
        <v>73</v>
      </c>
      <c r="AH165" t="s">
        <v>191</v>
      </c>
      <c r="AI165" t="s">
        <v>74</v>
      </c>
      <c r="AJ165" t="s">
        <v>75</v>
      </c>
      <c r="AK165" t="s">
        <v>76</v>
      </c>
      <c r="AL165" t="s">
        <v>135</v>
      </c>
      <c r="AM165" t="s">
        <v>78</v>
      </c>
      <c r="AN165" t="b">
        <v>0</v>
      </c>
      <c r="AO165">
        <v>1019</v>
      </c>
      <c r="AP165" t="s">
        <v>65</v>
      </c>
      <c r="AQ165" t="b">
        <v>1</v>
      </c>
      <c r="AR165">
        <v>0</v>
      </c>
      <c r="AS165">
        <v>0</v>
      </c>
      <c r="AT165">
        <v>0</v>
      </c>
      <c r="AU165">
        <v>0</v>
      </c>
      <c r="AV165">
        <v>0</v>
      </c>
      <c r="AW165" t="b">
        <v>0</v>
      </c>
      <c r="AX165" t="b">
        <v>0</v>
      </c>
      <c r="AY165" t="s">
        <v>79</v>
      </c>
      <c r="AZ165" t="b">
        <v>0</v>
      </c>
      <c r="BA165" t="s">
        <v>196</v>
      </c>
      <c r="BB165" t="s">
        <v>197</v>
      </c>
      <c r="BC165" t="s">
        <v>198</v>
      </c>
      <c r="BD165" t="b">
        <v>0</v>
      </c>
      <c r="BF165" t="b">
        <v>0</v>
      </c>
    </row>
    <row r="166" spans="1:58" x14ac:dyDescent="0.25">
      <c r="A166">
        <v>3.9</v>
      </c>
      <c r="B166">
        <v>26716</v>
      </c>
      <c r="C166" t="s">
        <v>126</v>
      </c>
      <c r="D166" t="s">
        <v>127</v>
      </c>
      <c r="E166">
        <v>0.74861111111111112</v>
      </c>
      <c r="F166" t="s">
        <v>128</v>
      </c>
      <c r="G166">
        <v>1</v>
      </c>
      <c r="H166">
        <v>10201</v>
      </c>
      <c r="K166" t="b">
        <v>1</v>
      </c>
      <c r="L166" t="s">
        <v>129</v>
      </c>
      <c r="M166">
        <v>16987</v>
      </c>
      <c r="N166" t="s">
        <v>130</v>
      </c>
      <c r="O166">
        <v>1787819294543</v>
      </c>
      <c r="P166" t="s">
        <v>65</v>
      </c>
      <c r="S166" t="s">
        <v>131</v>
      </c>
      <c r="T166" t="s">
        <v>67</v>
      </c>
      <c r="U166" t="s">
        <v>87</v>
      </c>
      <c r="V166">
        <v>19288</v>
      </c>
      <c r="W166" t="b">
        <v>0</v>
      </c>
      <c r="X166">
        <v>0</v>
      </c>
      <c r="Y166" t="s">
        <v>132</v>
      </c>
      <c r="Z166" t="b">
        <v>0</v>
      </c>
      <c r="AA166" t="s">
        <v>133</v>
      </c>
      <c r="AB166">
        <v>270826917532</v>
      </c>
      <c r="AC166" t="s">
        <v>134</v>
      </c>
      <c r="AD166" t="s">
        <v>134</v>
      </c>
      <c r="AE166">
        <v>8</v>
      </c>
      <c r="AF166">
        <v>6</v>
      </c>
      <c r="AG166" t="s">
        <v>91</v>
      </c>
      <c r="AH166" t="s">
        <v>131</v>
      </c>
      <c r="AI166" t="s">
        <v>74</v>
      </c>
      <c r="AJ166" t="s">
        <v>75</v>
      </c>
      <c r="AK166" t="s">
        <v>76</v>
      </c>
      <c r="AL166" t="s">
        <v>135</v>
      </c>
      <c r="AM166" t="s">
        <v>78</v>
      </c>
      <c r="AN166" t="b">
        <v>0</v>
      </c>
      <c r="AO166">
        <v>1019</v>
      </c>
      <c r="AP166" t="s">
        <v>65</v>
      </c>
      <c r="AQ166" t="b">
        <v>1</v>
      </c>
      <c r="AR166">
        <v>0</v>
      </c>
      <c r="AS166">
        <v>0</v>
      </c>
      <c r="AT166">
        <v>0</v>
      </c>
      <c r="AU166">
        <v>0</v>
      </c>
      <c r="AV166">
        <v>0</v>
      </c>
      <c r="AW166" t="b">
        <v>0</v>
      </c>
      <c r="AX166" t="b">
        <v>0</v>
      </c>
      <c r="AY166" t="s">
        <v>79</v>
      </c>
      <c r="AZ166" t="b">
        <v>0</v>
      </c>
      <c r="BA166" t="s">
        <v>136</v>
      </c>
      <c r="BB166" t="s">
        <v>137</v>
      </c>
      <c r="BC166" t="s">
        <v>138</v>
      </c>
      <c r="BD166" t="b">
        <v>0</v>
      </c>
      <c r="BF166" t="b">
        <v>0</v>
      </c>
    </row>
    <row r="167" spans="1:58" x14ac:dyDescent="0.25">
      <c r="A167">
        <v>3.9</v>
      </c>
      <c r="B167">
        <v>26716</v>
      </c>
      <c r="C167" t="s">
        <v>126</v>
      </c>
      <c r="D167" t="s">
        <v>127</v>
      </c>
      <c r="E167">
        <v>0.5805555555555556</v>
      </c>
      <c r="F167" t="s">
        <v>139</v>
      </c>
      <c r="G167">
        <v>1</v>
      </c>
      <c r="H167">
        <v>10201</v>
      </c>
      <c r="K167" t="b">
        <v>1</v>
      </c>
      <c r="L167" t="s">
        <v>140</v>
      </c>
      <c r="M167">
        <v>16987</v>
      </c>
      <c r="N167" t="s">
        <v>130</v>
      </c>
      <c r="O167">
        <v>1787718372586</v>
      </c>
      <c r="P167" t="s">
        <v>65</v>
      </c>
      <c r="S167" t="s">
        <v>118</v>
      </c>
      <c r="T167" t="s">
        <v>67</v>
      </c>
      <c r="U167" t="s">
        <v>99</v>
      </c>
      <c r="V167">
        <v>19288</v>
      </c>
      <c r="W167" t="b">
        <v>0</v>
      </c>
      <c r="X167">
        <v>0</v>
      </c>
      <c r="Y167" t="s">
        <v>141</v>
      </c>
      <c r="Z167" t="b">
        <v>0</v>
      </c>
      <c r="AA167" t="s">
        <v>142</v>
      </c>
      <c r="AB167">
        <v>260826909019</v>
      </c>
      <c r="AC167" t="s">
        <v>134</v>
      </c>
      <c r="AD167" t="s">
        <v>134</v>
      </c>
      <c r="AE167">
        <v>10</v>
      </c>
      <c r="AF167">
        <v>8</v>
      </c>
      <c r="AG167" t="s">
        <v>91</v>
      </c>
      <c r="AH167" t="s">
        <v>118</v>
      </c>
      <c r="AI167" t="s">
        <v>74</v>
      </c>
      <c r="AJ167" t="s">
        <v>75</v>
      </c>
      <c r="AK167" t="s">
        <v>76</v>
      </c>
      <c r="AL167" t="s">
        <v>135</v>
      </c>
      <c r="AM167" t="s">
        <v>78</v>
      </c>
      <c r="AN167" t="b">
        <v>0</v>
      </c>
      <c r="AO167">
        <v>1019</v>
      </c>
      <c r="AP167" t="s">
        <v>65</v>
      </c>
      <c r="AQ167" t="b">
        <v>1</v>
      </c>
      <c r="AR167">
        <v>0</v>
      </c>
      <c r="AS167">
        <v>0</v>
      </c>
      <c r="AT167">
        <v>0</v>
      </c>
      <c r="AU167">
        <v>0</v>
      </c>
      <c r="AV167">
        <v>0</v>
      </c>
      <c r="AW167" t="b">
        <v>0</v>
      </c>
      <c r="AX167" t="b">
        <v>0</v>
      </c>
      <c r="AY167" t="s">
        <v>79</v>
      </c>
      <c r="AZ167" t="b">
        <v>0</v>
      </c>
      <c r="BA167" t="s">
        <v>136</v>
      </c>
      <c r="BB167" t="s">
        <v>143</v>
      </c>
      <c r="BC167" t="s">
        <v>138</v>
      </c>
      <c r="BD167" t="b">
        <v>0</v>
      </c>
      <c r="BF167" t="b">
        <v>0</v>
      </c>
    </row>
    <row r="168" spans="1:58" x14ac:dyDescent="0.25">
      <c r="A168">
        <v>3.9</v>
      </c>
      <c r="B168">
        <v>26716</v>
      </c>
      <c r="C168" t="s">
        <v>126</v>
      </c>
      <c r="D168" t="s">
        <v>127</v>
      </c>
      <c r="E168">
        <v>0.79583333333333328</v>
      </c>
      <c r="F168" t="s">
        <v>199</v>
      </c>
      <c r="G168">
        <v>1</v>
      </c>
      <c r="H168">
        <v>10201</v>
      </c>
      <c r="K168" t="b">
        <v>1</v>
      </c>
      <c r="L168" t="s">
        <v>200</v>
      </c>
      <c r="M168">
        <v>16987</v>
      </c>
      <c r="N168" t="s">
        <v>130</v>
      </c>
      <c r="O168">
        <v>1787218594529</v>
      </c>
      <c r="P168" t="s">
        <v>65</v>
      </c>
      <c r="S168" t="s">
        <v>191</v>
      </c>
      <c r="T168" t="s">
        <v>67</v>
      </c>
      <c r="U168" t="s">
        <v>201</v>
      </c>
      <c r="V168">
        <v>19288</v>
      </c>
      <c r="W168" t="b">
        <v>0</v>
      </c>
      <c r="X168">
        <v>0</v>
      </c>
      <c r="Y168" t="s">
        <v>202</v>
      </c>
      <c r="Z168" t="b">
        <v>0</v>
      </c>
      <c r="AA168" t="s">
        <v>203</v>
      </c>
      <c r="AB168">
        <v>200826923685</v>
      </c>
      <c r="AC168" t="s">
        <v>134</v>
      </c>
      <c r="AD168" t="s">
        <v>134</v>
      </c>
      <c r="AE168">
        <v>10</v>
      </c>
      <c r="AF168">
        <v>5</v>
      </c>
      <c r="AG168" t="s">
        <v>91</v>
      </c>
      <c r="AH168" t="s">
        <v>191</v>
      </c>
      <c r="AI168" t="s">
        <v>74</v>
      </c>
      <c r="AJ168" t="s">
        <v>75</v>
      </c>
      <c r="AK168" t="s">
        <v>76</v>
      </c>
      <c r="AL168" t="s">
        <v>135</v>
      </c>
      <c r="AM168" t="s">
        <v>78</v>
      </c>
      <c r="AN168" t="b">
        <v>0</v>
      </c>
      <c r="AO168">
        <v>1019</v>
      </c>
      <c r="AP168" t="s">
        <v>65</v>
      </c>
      <c r="AQ168" t="b">
        <v>1</v>
      </c>
      <c r="AR168">
        <v>0</v>
      </c>
      <c r="AS168">
        <v>0</v>
      </c>
      <c r="AT168">
        <v>0</v>
      </c>
      <c r="AU168">
        <v>0</v>
      </c>
      <c r="AV168">
        <v>0</v>
      </c>
      <c r="AW168" t="b">
        <v>0</v>
      </c>
      <c r="AX168" t="b">
        <v>0</v>
      </c>
      <c r="AY168" t="s">
        <v>79</v>
      </c>
      <c r="AZ168" t="b">
        <v>0</v>
      </c>
      <c r="BA168" t="s">
        <v>136</v>
      </c>
      <c r="BB168" t="s">
        <v>204</v>
      </c>
      <c r="BC168" t="s">
        <v>138</v>
      </c>
      <c r="BD168" t="b">
        <v>0</v>
      </c>
      <c r="BF168" t="b">
        <v>0</v>
      </c>
    </row>
    <row r="169" spans="1:58" x14ac:dyDescent="0.25">
      <c r="A169">
        <v>3.2</v>
      </c>
      <c r="B169">
        <v>118481</v>
      </c>
      <c r="C169" t="s">
        <v>144</v>
      </c>
      <c r="D169" t="s">
        <v>145</v>
      </c>
      <c r="E169">
        <v>0.8208333333333333</v>
      </c>
      <c r="G169">
        <v>1</v>
      </c>
      <c r="H169">
        <v>2949</v>
      </c>
      <c r="K169" t="b">
        <v>0</v>
      </c>
      <c r="M169">
        <v>892542</v>
      </c>
      <c r="N169" t="s">
        <v>146</v>
      </c>
      <c r="O169">
        <v>1787911934859</v>
      </c>
      <c r="P169" t="s">
        <v>65</v>
      </c>
      <c r="S169" t="s">
        <v>147</v>
      </c>
      <c r="T169" t="s">
        <v>67</v>
      </c>
      <c r="U169" t="s">
        <v>119</v>
      </c>
      <c r="V169">
        <v>223346</v>
      </c>
      <c r="W169" t="b">
        <v>0</v>
      </c>
      <c r="X169">
        <v>0</v>
      </c>
      <c r="Y169" t="s">
        <v>148</v>
      </c>
      <c r="Z169" t="b">
        <v>1</v>
      </c>
      <c r="AA169" t="s">
        <v>149</v>
      </c>
      <c r="AB169">
        <v>280826008430</v>
      </c>
      <c r="AC169" t="s">
        <v>150</v>
      </c>
      <c r="AD169" t="s">
        <v>150</v>
      </c>
      <c r="AE169">
        <v>10</v>
      </c>
      <c r="AF169">
        <v>6</v>
      </c>
      <c r="AG169" t="s">
        <v>91</v>
      </c>
      <c r="AH169" t="s">
        <v>147</v>
      </c>
      <c r="AI169" t="s">
        <v>74</v>
      </c>
      <c r="AJ169" t="s">
        <v>75</v>
      </c>
      <c r="AK169" t="s">
        <v>76</v>
      </c>
      <c r="AL169" t="s">
        <v>151</v>
      </c>
      <c r="AM169" t="s">
        <v>78</v>
      </c>
      <c r="AN169" t="b">
        <v>0</v>
      </c>
      <c r="AO169">
        <v>1019</v>
      </c>
      <c r="AP169" t="s">
        <v>65</v>
      </c>
      <c r="AQ169" t="b">
        <v>1</v>
      </c>
      <c r="AR169">
        <v>0</v>
      </c>
      <c r="AS169">
        <v>0</v>
      </c>
      <c r="AT169">
        <v>0</v>
      </c>
      <c r="AU169">
        <v>0</v>
      </c>
      <c r="AV169">
        <v>0</v>
      </c>
      <c r="AW169" t="b">
        <v>0</v>
      </c>
      <c r="AX169" t="b">
        <v>0</v>
      </c>
      <c r="AY169" t="s">
        <v>79</v>
      </c>
      <c r="AZ169" t="b">
        <v>0</v>
      </c>
      <c r="BA169" t="s">
        <v>152</v>
      </c>
      <c r="BB169" t="s">
        <v>153</v>
      </c>
      <c r="BC169" t="s">
        <v>82</v>
      </c>
      <c r="BD169" t="b">
        <v>0</v>
      </c>
      <c r="BF169" t="b">
        <v>0</v>
      </c>
    </row>
    <row r="170" spans="1:58" x14ac:dyDescent="0.25">
      <c r="A170">
        <v>3.7</v>
      </c>
      <c r="B170">
        <v>6800</v>
      </c>
      <c r="C170" t="s">
        <v>165</v>
      </c>
      <c r="D170" t="s">
        <v>166</v>
      </c>
      <c r="E170">
        <v>0.92569444444444449</v>
      </c>
      <c r="G170">
        <v>1</v>
      </c>
      <c r="H170">
        <v>2639</v>
      </c>
      <c r="K170" t="b">
        <v>0</v>
      </c>
      <c r="M170">
        <v>19934</v>
      </c>
      <c r="N170" t="s">
        <v>167</v>
      </c>
      <c r="O170">
        <v>1787316218988</v>
      </c>
      <c r="P170" t="s">
        <v>65</v>
      </c>
      <c r="S170" t="s">
        <v>168</v>
      </c>
      <c r="T170" t="s">
        <v>67</v>
      </c>
      <c r="U170" t="s">
        <v>169</v>
      </c>
      <c r="V170">
        <v>21746</v>
      </c>
      <c r="W170" t="b">
        <v>0</v>
      </c>
      <c r="X170">
        <v>0</v>
      </c>
      <c r="Y170" t="s">
        <v>170</v>
      </c>
      <c r="Z170" t="b">
        <v>1</v>
      </c>
      <c r="AA170" t="s">
        <v>171</v>
      </c>
      <c r="AB170">
        <v>210826932923</v>
      </c>
      <c r="AC170" t="s">
        <v>172</v>
      </c>
      <c r="AD170" t="s">
        <v>172</v>
      </c>
      <c r="AE170">
        <v>13</v>
      </c>
      <c r="AF170">
        <v>8</v>
      </c>
      <c r="AG170" t="s">
        <v>91</v>
      </c>
      <c r="AH170" t="s">
        <v>168</v>
      </c>
      <c r="AI170" t="s">
        <v>74</v>
      </c>
      <c r="AJ170" t="s">
        <v>75</v>
      </c>
      <c r="AK170" t="s">
        <v>76</v>
      </c>
      <c r="AL170" t="s">
        <v>135</v>
      </c>
      <c r="AM170" t="s">
        <v>78</v>
      </c>
      <c r="AN170" t="b">
        <v>0</v>
      </c>
      <c r="AO170">
        <v>1028</v>
      </c>
      <c r="AP170" t="s">
        <v>65</v>
      </c>
      <c r="AQ170" t="b">
        <v>1</v>
      </c>
      <c r="AR170">
        <v>0</v>
      </c>
      <c r="AS170">
        <v>0</v>
      </c>
      <c r="AT170">
        <v>0</v>
      </c>
      <c r="AU170">
        <v>0</v>
      </c>
      <c r="AV170">
        <v>0</v>
      </c>
      <c r="AW170" t="b">
        <v>0</v>
      </c>
      <c r="AX170" t="b">
        <v>0</v>
      </c>
      <c r="AY170" t="s">
        <v>79</v>
      </c>
      <c r="AZ170" t="b">
        <v>0</v>
      </c>
      <c r="BA170" t="s">
        <v>173</v>
      </c>
      <c r="BB170" t="s">
        <v>174</v>
      </c>
      <c r="BC170" t="s">
        <v>175</v>
      </c>
      <c r="BD170" t="b">
        <v>0</v>
      </c>
      <c r="BF170" t="b">
        <v>0</v>
      </c>
    </row>
    <row r="171" spans="1:58" x14ac:dyDescent="0.25">
      <c r="A171">
        <v>3.5</v>
      </c>
      <c r="B171">
        <v>50684</v>
      </c>
      <c r="C171" t="s">
        <v>205</v>
      </c>
      <c r="D171" t="s">
        <v>206</v>
      </c>
      <c r="E171">
        <v>0.90694444444444444</v>
      </c>
      <c r="G171">
        <v>1</v>
      </c>
      <c r="I171">
        <v>1</v>
      </c>
      <c r="J171" t="s">
        <v>207</v>
      </c>
      <c r="K171" t="b">
        <v>0</v>
      </c>
      <c r="M171">
        <v>124269780</v>
      </c>
      <c r="N171" t="s">
        <v>208</v>
      </c>
      <c r="O171">
        <v>1787573805796</v>
      </c>
      <c r="P171" t="s">
        <v>65</v>
      </c>
      <c r="Q171" t="s">
        <v>209</v>
      </c>
      <c r="R171" t="b">
        <v>0</v>
      </c>
      <c r="S171" t="s">
        <v>210</v>
      </c>
      <c r="T171" t="s">
        <v>67</v>
      </c>
      <c r="U171" t="s">
        <v>211</v>
      </c>
      <c r="V171">
        <v>13832</v>
      </c>
      <c r="W171" t="b">
        <v>0</v>
      </c>
      <c r="X171">
        <v>0</v>
      </c>
      <c r="Y171" t="s">
        <v>212</v>
      </c>
      <c r="Z171" t="b">
        <v>0</v>
      </c>
      <c r="AA171" t="s">
        <v>213</v>
      </c>
      <c r="AB171">
        <v>170826004896</v>
      </c>
      <c r="AC171" t="s">
        <v>214</v>
      </c>
      <c r="AD171" t="s">
        <v>214</v>
      </c>
      <c r="AE171">
        <v>8</v>
      </c>
      <c r="AF171">
        <v>5</v>
      </c>
      <c r="AG171" t="s">
        <v>91</v>
      </c>
      <c r="AH171" t="s">
        <v>210</v>
      </c>
      <c r="AI171" t="s">
        <v>74</v>
      </c>
      <c r="AJ171" t="s">
        <v>75</v>
      </c>
      <c r="AK171" t="s">
        <v>76</v>
      </c>
      <c r="AL171" t="s">
        <v>215</v>
      </c>
      <c r="AM171" t="s">
        <v>78</v>
      </c>
      <c r="AN171" t="b">
        <v>1</v>
      </c>
      <c r="AO171">
        <v>1028</v>
      </c>
      <c r="AP171" t="s">
        <v>65</v>
      </c>
      <c r="AQ171" t="b">
        <v>1</v>
      </c>
      <c r="AR171">
        <v>0</v>
      </c>
      <c r="AS171">
        <v>0</v>
      </c>
      <c r="AT171">
        <v>0</v>
      </c>
      <c r="AU171">
        <v>0</v>
      </c>
      <c r="AV171">
        <v>0</v>
      </c>
      <c r="AW171" t="b">
        <v>0</v>
      </c>
      <c r="AX171" t="b">
        <v>0</v>
      </c>
      <c r="AY171" t="s">
        <v>79</v>
      </c>
      <c r="AZ171" t="b">
        <v>0</v>
      </c>
      <c r="BA171" t="s">
        <v>216</v>
      </c>
      <c r="BB171" t="s">
        <v>217</v>
      </c>
      <c r="BC171" t="s">
        <v>218</v>
      </c>
      <c r="BD171" t="b">
        <v>0</v>
      </c>
      <c r="BE171">
        <v>1000</v>
      </c>
      <c r="BF171" t="b">
        <v>0</v>
      </c>
    </row>
    <row r="172" spans="1:58" x14ac:dyDescent="0.25">
      <c r="A172">
        <v>3.5</v>
      </c>
      <c r="B172">
        <v>50684</v>
      </c>
      <c r="C172" t="s">
        <v>205</v>
      </c>
      <c r="D172" t="s">
        <v>206</v>
      </c>
      <c r="E172">
        <v>0.56666666666666665</v>
      </c>
      <c r="G172">
        <v>1</v>
      </c>
      <c r="K172" t="b">
        <v>0</v>
      </c>
      <c r="M172">
        <v>124269780</v>
      </c>
      <c r="N172" t="s">
        <v>208</v>
      </c>
      <c r="O172">
        <v>1787025993463</v>
      </c>
      <c r="P172" t="s">
        <v>65</v>
      </c>
      <c r="S172" t="s">
        <v>191</v>
      </c>
      <c r="T172" t="s">
        <v>67</v>
      </c>
      <c r="U172" t="s">
        <v>219</v>
      </c>
      <c r="V172">
        <v>13832</v>
      </c>
      <c r="W172" t="b">
        <v>0</v>
      </c>
      <c r="X172">
        <v>0</v>
      </c>
      <c r="Y172" t="s">
        <v>220</v>
      </c>
      <c r="Z172" t="b">
        <v>1</v>
      </c>
      <c r="AA172" t="s">
        <v>221</v>
      </c>
      <c r="AB172">
        <v>180826009185</v>
      </c>
      <c r="AC172" t="s">
        <v>214</v>
      </c>
      <c r="AD172" t="s">
        <v>214</v>
      </c>
      <c r="AE172">
        <v>10</v>
      </c>
      <c r="AF172">
        <v>5</v>
      </c>
      <c r="AG172" t="s">
        <v>91</v>
      </c>
      <c r="AH172" t="s">
        <v>191</v>
      </c>
      <c r="AI172" t="s">
        <v>74</v>
      </c>
      <c r="AJ172" t="s">
        <v>75</v>
      </c>
      <c r="AK172" t="s">
        <v>76</v>
      </c>
      <c r="AL172" t="s">
        <v>222</v>
      </c>
      <c r="AM172" t="s">
        <v>78</v>
      </c>
      <c r="AN172" t="b">
        <v>1</v>
      </c>
      <c r="AO172">
        <v>1028</v>
      </c>
      <c r="AP172" t="s">
        <v>65</v>
      </c>
      <c r="AQ172" t="b">
        <v>1</v>
      </c>
      <c r="AR172">
        <v>0</v>
      </c>
      <c r="AS172">
        <v>0</v>
      </c>
      <c r="AT172">
        <v>0</v>
      </c>
      <c r="AU172">
        <v>0</v>
      </c>
      <c r="AV172">
        <v>0</v>
      </c>
      <c r="AW172" t="b">
        <v>0</v>
      </c>
      <c r="AX172" t="b">
        <v>0</v>
      </c>
      <c r="AY172" t="s">
        <v>79</v>
      </c>
      <c r="AZ172" t="b">
        <v>0</v>
      </c>
      <c r="BA172" t="s">
        <v>216</v>
      </c>
      <c r="BB172" t="s">
        <v>223</v>
      </c>
      <c r="BC172" t="s">
        <v>224</v>
      </c>
      <c r="BD172" t="b">
        <v>0</v>
      </c>
      <c r="BE172">
        <v>100</v>
      </c>
      <c r="BF172" t="b">
        <v>0</v>
      </c>
    </row>
    <row r="173" spans="1:58" x14ac:dyDescent="0.25">
      <c r="A173">
        <v>3.4</v>
      </c>
      <c r="B173">
        <v>47884</v>
      </c>
      <c r="C173" t="s">
        <v>83</v>
      </c>
      <c r="D173" t="s">
        <v>84</v>
      </c>
      <c r="E173">
        <v>0.62777777777777777</v>
      </c>
      <c r="G173">
        <v>1</v>
      </c>
      <c r="H173">
        <v>3730</v>
      </c>
      <c r="K173" t="b">
        <v>0</v>
      </c>
      <c r="M173">
        <v>2904476</v>
      </c>
      <c r="N173" t="s">
        <v>85</v>
      </c>
      <c r="O173">
        <v>1787808879920</v>
      </c>
      <c r="P173" t="s">
        <v>65</v>
      </c>
      <c r="S173" t="s">
        <v>86</v>
      </c>
      <c r="T173" t="s">
        <v>67</v>
      </c>
      <c r="U173" t="s">
        <v>87</v>
      </c>
      <c r="V173">
        <v>194354</v>
      </c>
      <c r="W173" t="b">
        <v>0</v>
      </c>
      <c r="X173">
        <v>0</v>
      </c>
      <c r="Y173" t="s">
        <v>88</v>
      </c>
      <c r="Z173" t="b">
        <v>1</v>
      </c>
      <c r="AA173" t="s">
        <v>89</v>
      </c>
      <c r="AB173">
        <v>270826010477</v>
      </c>
      <c r="AC173" t="s">
        <v>90</v>
      </c>
      <c r="AD173" t="s">
        <v>90</v>
      </c>
      <c r="AE173">
        <v>7</v>
      </c>
      <c r="AF173">
        <v>4</v>
      </c>
      <c r="AG173" t="s">
        <v>91</v>
      </c>
      <c r="AH173" t="s">
        <v>86</v>
      </c>
      <c r="AI173" t="s">
        <v>74</v>
      </c>
      <c r="AJ173" t="s">
        <v>75</v>
      </c>
      <c r="AK173" t="s">
        <v>76</v>
      </c>
      <c r="AL173" t="s">
        <v>92</v>
      </c>
      <c r="AM173" t="s">
        <v>78</v>
      </c>
      <c r="AN173" t="b">
        <v>1</v>
      </c>
      <c r="AO173">
        <v>1020</v>
      </c>
      <c r="AP173" t="s">
        <v>65</v>
      </c>
      <c r="AQ173" t="b">
        <v>1</v>
      </c>
      <c r="AR173">
        <v>0</v>
      </c>
      <c r="AS173">
        <v>0</v>
      </c>
      <c r="AT173">
        <v>0</v>
      </c>
      <c r="AU173">
        <v>0</v>
      </c>
      <c r="AV173">
        <v>0</v>
      </c>
      <c r="AW173" t="b">
        <v>0</v>
      </c>
      <c r="AX173" t="b">
        <v>0</v>
      </c>
      <c r="AY173" t="s">
        <v>79</v>
      </c>
      <c r="AZ173" t="b">
        <v>0</v>
      </c>
      <c r="BA173" t="s">
        <v>93</v>
      </c>
      <c r="BB173" t="s">
        <v>94</v>
      </c>
      <c r="BC173" t="s">
        <v>82</v>
      </c>
      <c r="BD173" t="b">
        <v>0</v>
      </c>
      <c r="BF173" t="b">
        <v>0</v>
      </c>
    </row>
    <row r="174" spans="1:58" x14ac:dyDescent="0.25">
      <c r="A174">
        <v>3.8</v>
      </c>
      <c r="B174">
        <v>717</v>
      </c>
      <c r="C174" t="s">
        <v>225</v>
      </c>
      <c r="D174" t="s">
        <v>226</v>
      </c>
      <c r="E174">
        <v>0.67569444444444449</v>
      </c>
      <c r="G174">
        <v>1</v>
      </c>
      <c r="K174" t="b">
        <v>0</v>
      </c>
      <c r="M174">
        <v>114714</v>
      </c>
      <c r="N174" t="s">
        <v>227</v>
      </c>
      <c r="O174">
        <v>1787294628965</v>
      </c>
      <c r="P174" t="s">
        <v>65</v>
      </c>
      <c r="S174" t="s">
        <v>191</v>
      </c>
      <c r="T174" t="s">
        <v>67</v>
      </c>
      <c r="U174" t="s">
        <v>228</v>
      </c>
      <c r="V174">
        <v>4586641</v>
      </c>
      <c r="W174" t="b">
        <v>0</v>
      </c>
      <c r="X174">
        <v>0</v>
      </c>
      <c r="Y174" t="s">
        <v>229</v>
      </c>
      <c r="Z174" t="b">
        <v>1</v>
      </c>
      <c r="AA174" t="s">
        <v>230</v>
      </c>
      <c r="AB174">
        <v>210826009532</v>
      </c>
      <c r="AC174" t="s">
        <v>231</v>
      </c>
      <c r="AD174" t="s">
        <v>231</v>
      </c>
      <c r="AE174">
        <v>10</v>
      </c>
      <c r="AF174">
        <v>5</v>
      </c>
      <c r="AG174" t="s">
        <v>91</v>
      </c>
      <c r="AH174" t="s">
        <v>191</v>
      </c>
      <c r="AI174" t="s">
        <v>74</v>
      </c>
      <c r="AJ174" t="s">
        <v>75</v>
      </c>
      <c r="AK174" t="s">
        <v>76</v>
      </c>
      <c r="AL174" t="s">
        <v>232</v>
      </c>
      <c r="AM174" t="s">
        <v>78</v>
      </c>
      <c r="AN174" t="b">
        <v>1</v>
      </c>
      <c r="AO174">
        <v>1082</v>
      </c>
      <c r="AP174" t="s">
        <v>65</v>
      </c>
      <c r="AQ174" t="b">
        <v>1</v>
      </c>
      <c r="AR174">
        <v>0</v>
      </c>
      <c r="AS174">
        <v>0</v>
      </c>
      <c r="AT174">
        <v>0</v>
      </c>
      <c r="AU174">
        <v>0</v>
      </c>
      <c r="AV174">
        <v>0</v>
      </c>
      <c r="AW174" t="b">
        <v>0</v>
      </c>
      <c r="AX174" t="b">
        <v>0</v>
      </c>
      <c r="AY174" t="s">
        <v>79</v>
      </c>
      <c r="AZ174" t="b">
        <v>0</v>
      </c>
      <c r="BA174" t="s">
        <v>233</v>
      </c>
      <c r="BB174" t="s">
        <v>234</v>
      </c>
      <c r="BC174" t="s">
        <v>82</v>
      </c>
      <c r="BD174" t="b">
        <v>0</v>
      </c>
      <c r="BF174" t="b">
        <v>0</v>
      </c>
    </row>
    <row r="175" spans="1:58" x14ac:dyDescent="0.25">
      <c r="A175">
        <v>2.8</v>
      </c>
      <c r="B175">
        <v>98</v>
      </c>
      <c r="C175" t="s">
        <v>235</v>
      </c>
      <c r="D175" t="s">
        <v>236</v>
      </c>
      <c r="E175">
        <v>0.65069444444444446</v>
      </c>
      <c r="G175">
        <v>1</v>
      </c>
      <c r="H175">
        <v>16255</v>
      </c>
      <c r="K175" t="b">
        <v>0</v>
      </c>
      <c r="M175">
        <v>4804684</v>
      </c>
      <c r="N175" t="s">
        <v>237</v>
      </c>
      <c r="O175">
        <v>1787638049264</v>
      </c>
      <c r="P175" t="s">
        <v>65</v>
      </c>
      <c r="S175" t="s">
        <v>238</v>
      </c>
      <c r="T175" t="s">
        <v>67</v>
      </c>
      <c r="U175" t="s">
        <v>239</v>
      </c>
      <c r="V175">
        <v>4582011</v>
      </c>
      <c r="W175" t="b">
        <v>0</v>
      </c>
      <c r="X175">
        <v>0</v>
      </c>
      <c r="Y175" t="s">
        <v>240</v>
      </c>
      <c r="Z175" t="b">
        <v>1</v>
      </c>
      <c r="AA175" t="s">
        <v>241</v>
      </c>
      <c r="AB175">
        <v>250826012754</v>
      </c>
      <c r="AC175" t="s">
        <v>242</v>
      </c>
      <c r="AD175" t="s">
        <v>242</v>
      </c>
      <c r="AE175">
        <v>5</v>
      </c>
      <c r="AF175">
        <v>2</v>
      </c>
      <c r="AG175" t="s">
        <v>91</v>
      </c>
      <c r="AH175" t="s">
        <v>238</v>
      </c>
      <c r="AI175" t="s">
        <v>74</v>
      </c>
      <c r="AJ175" t="s">
        <v>75</v>
      </c>
      <c r="AK175" t="s">
        <v>76</v>
      </c>
      <c r="AL175" t="s">
        <v>135</v>
      </c>
      <c r="AM175" t="s">
        <v>78</v>
      </c>
      <c r="AN175" t="b">
        <v>1</v>
      </c>
      <c r="AO175">
        <v>1045</v>
      </c>
      <c r="AP175" t="s">
        <v>65</v>
      </c>
      <c r="AQ175" t="b">
        <v>1</v>
      </c>
      <c r="AR175">
        <v>0</v>
      </c>
      <c r="AS175">
        <v>0</v>
      </c>
      <c r="AT175">
        <v>0</v>
      </c>
      <c r="AU175">
        <v>0</v>
      </c>
      <c r="AV175">
        <v>0</v>
      </c>
      <c r="AW175" t="b">
        <v>0</v>
      </c>
      <c r="AX175" t="b">
        <v>0</v>
      </c>
      <c r="AY175" t="s">
        <v>79</v>
      </c>
      <c r="AZ175" t="b">
        <v>0</v>
      </c>
      <c r="BA175" t="s">
        <v>243</v>
      </c>
      <c r="BB175" t="s">
        <v>244</v>
      </c>
      <c r="BC175" t="s">
        <v>82</v>
      </c>
      <c r="BD175" t="b">
        <v>0</v>
      </c>
      <c r="BF175" t="b">
        <v>0</v>
      </c>
    </row>
    <row r="176" spans="1:58" x14ac:dyDescent="0.25">
      <c r="A176">
        <v>3.9</v>
      </c>
      <c r="B176">
        <v>4437</v>
      </c>
      <c r="C176" t="s">
        <v>245</v>
      </c>
      <c r="D176" t="s">
        <v>246</v>
      </c>
      <c r="E176">
        <v>0.89583333333333337</v>
      </c>
      <c r="G176">
        <v>1</v>
      </c>
      <c r="K176" t="b">
        <v>0</v>
      </c>
      <c r="M176">
        <v>3974784</v>
      </c>
      <c r="N176" t="s">
        <v>247</v>
      </c>
      <c r="O176">
        <v>1787659232918</v>
      </c>
      <c r="P176" t="s">
        <v>65</v>
      </c>
      <c r="S176" t="s">
        <v>181</v>
      </c>
      <c r="T176" t="s">
        <v>67</v>
      </c>
      <c r="U176" t="s">
        <v>239</v>
      </c>
      <c r="V176">
        <v>4608615</v>
      </c>
      <c r="W176" t="b">
        <v>0</v>
      </c>
      <c r="X176">
        <v>0</v>
      </c>
      <c r="Y176" t="s">
        <v>248</v>
      </c>
      <c r="Z176" t="b">
        <v>1</v>
      </c>
      <c r="AA176" t="s">
        <v>249</v>
      </c>
      <c r="AB176">
        <v>170426013396</v>
      </c>
      <c r="AC176" t="s">
        <v>250</v>
      </c>
      <c r="AD176" t="s">
        <v>250</v>
      </c>
      <c r="AE176">
        <v>7</v>
      </c>
      <c r="AF176">
        <v>3</v>
      </c>
      <c r="AG176" t="s">
        <v>91</v>
      </c>
      <c r="AH176" t="s">
        <v>181</v>
      </c>
      <c r="AI176" t="s">
        <v>74</v>
      </c>
      <c r="AJ176" t="s">
        <v>75</v>
      </c>
      <c r="AK176" t="s">
        <v>76</v>
      </c>
      <c r="AL176" t="s">
        <v>251</v>
      </c>
      <c r="AM176" t="s">
        <v>78</v>
      </c>
      <c r="AN176" t="b">
        <v>1</v>
      </c>
      <c r="AO176">
        <v>1019</v>
      </c>
      <c r="AP176" t="s">
        <v>65</v>
      </c>
      <c r="AQ176" t="b">
        <v>1</v>
      </c>
      <c r="AR176">
        <v>0</v>
      </c>
      <c r="AS176">
        <v>0</v>
      </c>
      <c r="AT176">
        <v>0</v>
      </c>
      <c r="AU176">
        <v>0</v>
      </c>
      <c r="AV176">
        <v>0</v>
      </c>
      <c r="AW176" t="b">
        <v>0</v>
      </c>
      <c r="AX176" t="b">
        <v>0</v>
      </c>
      <c r="AY176" t="s">
        <v>79</v>
      </c>
      <c r="AZ176" t="b">
        <v>0</v>
      </c>
      <c r="BA176" t="s">
        <v>252</v>
      </c>
      <c r="BB176" t="s">
        <v>253</v>
      </c>
      <c r="BC176" t="s">
        <v>224</v>
      </c>
      <c r="BD176" t="b">
        <v>0</v>
      </c>
      <c r="BE176">
        <v>3</v>
      </c>
      <c r="BF176" t="b">
        <v>0</v>
      </c>
    </row>
    <row r="177" spans="1:58" x14ac:dyDescent="0.25">
      <c r="A177">
        <v>3.2</v>
      </c>
      <c r="B177">
        <v>118481</v>
      </c>
      <c r="C177" t="s">
        <v>144</v>
      </c>
      <c r="D177" t="s">
        <v>145</v>
      </c>
      <c r="E177">
        <v>0.8208333333333333</v>
      </c>
      <c r="G177">
        <v>1</v>
      </c>
      <c r="H177">
        <v>2949</v>
      </c>
      <c r="K177" t="b">
        <v>0</v>
      </c>
      <c r="M177">
        <v>892542</v>
      </c>
      <c r="N177" t="s">
        <v>146</v>
      </c>
      <c r="O177">
        <v>1787911934859</v>
      </c>
      <c r="P177" t="s">
        <v>65</v>
      </c>
      <c r="S177" t="s">
        <v>147</v>
      </c>
      <c r="T177" t="s">
        <v>67</v>
      </c>
      <c r="U177" t="s">
        <v>119</v>
      </c>
      <c r="V177">
        <v>223346</v>
      </c>
      <c r="W177" t="b">
        <v>0</v>
      </c>
      <c r="X177">
        <v>0</v>
      </c>
      <c r="Y177" t="s">
        <v>148</v>
      </c>
      <c r="Z177" t="b">
        <v>1</v>
      </c>
      <c r="AA177" t="s">
        <v>149</v>
      </c>
      <c r="AB177">
        <v>280826008430</v>
      </c>
      <c r="AC177" t="s">
        <v>150</v>
      </c>
      <c r="AD177" t="s">
        <v>150</v>
      </c>
      <c r="AE177">
        <v>10</v>
      </c>
      <c r="AF177">
        <v>6</v>
      </c>
      <c r="AG177" t="s">
        <v>91</v>
      </c>
      <c r="AH177" t="s">
        <v>147</v>
      </c>
      <c r="AI177" t="s">
        <v>74</v>
      </c>
      <c r="AJ177" t="s">
        <v>75</v>
      </c>
      <c r="AK177" t="s">
        <v>76</v>
      </c>
      <c r="AL177" t="s">
        <v>151</v>
      </c>
      <c r="AM177" t="s">
        <v>78</v>
      </c>
      <c r="AN177" t="b">
        <v>0</v>
      </c>
      <c r="AO177">
        <v>1019</v>
      </c>
      <c r="AP177" t="s">
        <v>65</v>
      </c>
      <c r="AQ177" t="b">
        <v>1</v>
      </c>
      <c r="AR177">
        <v>0</v>
      </c>
      <c r="AS177">
        <v>0</v>
      </c>
      <c r="AT177">
        <v>0</v>
      </c>
      <c r="AU177">
        <v>0</v>
      </c>
      <c r="AV177">
        <v>0</v>
      </c>
      <c r="AW177" t="b">
        <v>0</v>
      </c>
      <c r="AX177" t="b">
        <v>0</v>
      </c>
      <c r="AY177" t="s">
        <v>79</v>
      </c>
      <c r="AZ177" t="b">
        <v>0</v>
      </c>
      <c r="BA177" t="s">
        <v>152</v>
      </c>
      <c r="BB177" t="s">
        <v>153</v>
      </c>
      <c r="BC177" t="s">
        <v>82</v>
      </c>
      <c r="BD177" t="b">
        <v>0</v>
      </c>
      <c r="BF177" t="b">
        <v>0</v>
      </c>
    </row>
    <row r="178" spans="1:58" x14ac:dyDescent="0.25">
      <c r="A178">
        <v>3.5</v>
      </c>
      <c r="B178">
        <v>50684</v>
      </c>
      <c r="C178" t="s">
        <v>205</v>
      </c>
      <c r="D178" t="s">
        <v>206</v>
      </c>
      <c r="E178">
        <v>0.90694444444444444</v>
      </c>
      <c r="G178">
        <v>1</v>
      </c>
      <c r="I178">
        <v>1</v>
      </c>
      <c r="J178" t="s">
        <v>207</v>
      </c>
      <c r="K178" t="b">
        <v>0</v>
      </c>
      <c r="M178">
        <v>124269780</v>
      </c>
      <c r="N178" t="s">
        <v>208</v>
      </c>
      <c r="O178">
        <v>1787573805796</v>
      </c>
      <c r="P178" t="s">
        <v>65</v>
      </c>
      <c r="Q178" t="s">
        <v>209</v>
      </c>
      <c r="R178" t="b">
        <v>0</v>
      </c>
      <c r="S178" t="s">
        <v>210</v>
      </c>
      <c r="T178" t="s">
        <v>67</v>
      </c>
      <c r="U178" t="s">
        <v>211</v>
      </c>
      <c r="V178">
        <v>13832</v>
      </c>
      <c r="W178" t="b">
        <v>0</v>
      </c>
      <c r="X178">
        <v>0</v>
      </c>
      <c r="Y178" t="s">
        <v>212</v>
      </c>
      <c r="Z178" t="b">
        <v>0</v>
      </c>
      <c r="AA178" t="s">
        <v>213</v>
      </c>
      <c r="AB178">
        <v>170826004896</v>
      </c>
      <c r="AC178" t="s">
        <v>214</v>
      </c>
      <c r="AD178" t="s">
        <v>214</v>
      </c>
      <c r="AE178">
        <v>8</v>
      </c>
      <c r="AF178">
        <v>5</v>
      </c>
      <c r="AG178" t="s">
        <v>91</v>
      </c>
      <c r="AH178" t="s">
        <v>210</v>
      </c>
      <c r="AI178" t="s">
        <v>74</v>
      </c>
      <c r="AJ178" t="s">
        <v>75</v>
      </c>
      <c r="AK178" t="s">
        <v>76</v>
      </c>
      <c r="AL178" t="s">
        <v>215</v>
      </c>
      <c r="AM178" t="s">
        <v>78</v>
      </c>
      <c r="AN178" t="b">
        <v>1</v>
      </c>
      <c r="AO178">
        <v>1028</v>
      </c>
      <c r="AP178" t="s">
        <v>65</v>
      </c>
      <c r="AQ178" t="b">
        <v>1</v>
      </c>
      <c r="AR178">
        <v>0</v>
      </c>
      <c r="AS178">
        <v>0</v>
      </c>
      <c r="AT178">
        <v>0</v>
      </c>
      <c r="AU178">
        <v>0</v>
      </c>
      <c r="AV178">
        <v>0</v>
      </c>
      <c r="AW178" t="b">
        <v>0</v>
      </c>
      <c r="AX178" t="b">
        <v>0</v>
      </c>
      <c r="AY178" t="s">
        <v>79</v>
      </c>
      <c r="AZ178" t="b">
        <v>0</v>
      </c>
      <c r="BA178" t="s">
        <v>216</v>
      </c>
      <c r="BB178" t="s">
        <v>217</v>
      </c>
      <c r="BC178" t="s">
        <v>218</v>
      </c>
      <c r="BD178" t="b">
        <v>0</v>
      </c>
      <c r="BE178">
        <v>1000</v>
      </c>
      <c r="BF178" t="b">
        <v>0</v>
      </c>
    </row>
    <row r="179" spans="1:58" x14ac:dyDescent="0.25">
      <c r="A179">
        <v>3.5</v>
      </c>
      <c r="B179">
        <v>50684</v>
      </c>
      <c r="C179" t="s">
        <v>205</v>
      </c>
      <c r="D179" t="s">
        <v>206</v>
      </c>
      <c r="E179">
        <v>0.90694444444444444</v>
      </c>
      <c r="G179">
        <v>1</v>
      </c>
      <c r="K179" t="b">
        <v>0</v>
      </c>
      <c r="M179">
        <v>124269780</v>
      </c>
      <c r="N179" t="s">
        <v>208</v>
      </c>
      <c r="O179">
        <v>1787573809755</v>
      </c>
      <c r="P179" t="s">
        <v>65</v>
      </c>
      <c r="S179" t="s">
        <v>254</v>
      </c>
      <c r="T179" t="s">
        <v>67</v>
      </c>
      <c r="U179" t="s">
        <v>211</v>
      </c>
      <c r="V179">
        <v>13832</v>
      </c>
      <c r="W179" t="b">
        <v>0</v>
      </c>
      <c r="X179">
        <v>0</v>
      </c>
      <c r="Y179" t="s">
        <v>255</v>
      </c>
      <c r="Z179" t="b">
        <v>1</v>
      </c>
      <c r="AA179" t="s">
        <v>213</v>
      </c>
      <c r="AB179">
        <v>170826030661</v>
      </c>
      <c r="AC179" t="s">
        <v>214</v>
      </c>
      <c r="AD179" t="s">
        <v>214</v>
      </c>
      <c r="AE179">
        <v>11</v>
      </c>
      <c r="AF179">
        <v>9</v>
      </c>
      <c r="AG179" t="s">
        <v>91</v>
      </c>
      <c r="AH179" t="s">
        <v>254</v>
      </c>
      <c r="AI179" t="s">
        <v>74</v>
      </c>
      <c r="AJ179" t="s">
        <v>75</v>
      </c>
      <c r="AK179" t="s">
        <v>76</v>
      </c>
      <c r="AL179" t="s">
        <v>215</v>
      </c>
      <c r="AM179" t="s">
        <v>78</v>
      </c>
      <c r="AN179" t="b">
        <v>1</v>
      </c>
      <c r="AO179">
        <v>1028</v>
      </c>
      <c r="AP179" t="s">
        <v>65</v>
      </c>
      <c r="AQ179" t="b">
        <v>1</v>
      </c>
      <c r="AR179">
        <v>0</v>
      </c>
      <c r="AS179">
        <v>0</v>
      </c>
      <c r="AT179">
        <v>0</v>
      </c>
      <c r="AU179">
        <v>0</v>
      </c>
      <c r="AV179">
        <v>0</v>
      </c>
      <c r="AW179" t="b">
        <v>0</v>
      </c>
      <c r="AX179" t="b">
        <v>0</v>
      </c>
      <c r="AY179" t="s">
        <v>79</v>
      </c>
      <c r="AZ179" t="b">
        <v>0</v>
      </c>
      <c r="BA179" t="s">
        <v>216</v>
      </c>
      <c r="BB179" t="s">
        <v>217</v>
      </c>
      <c r="BC179" t="s">
        <v>218</v>
      </c>
      <c r="BD179" t="b">
        <v>0</v>
      </c>
      <c r="BE179">
        <v>1000</v>
      </c>
      <c r="BF179" t="b">
        <v>0</v>
      </c>
    </row>
    <row r="180" spans="1:58" x14ac:dyDescent="0.25">
      <c r="A180">
        <v>3.6</v>
      </c>
      <c r="B180">
        <v>27553</v>
      </c>
      <c r="C180" t="s">
        <v>256</v>
      </c>
      <c r="D180" t="s">
        <v>257</v>
      </c>
      <c r="E180">
        <v>0.62916666666666665</v>
      </c>
      <c r="G180">
        <v>1</v>
      </c>
      <c r="K180" t="b">
        <v>0</v>
      </c>
      <c r="M180">
        <v>124141072</v>
      </c>
      <c r="N180" t="s">
        <v>258</v>
      </c>
      <c r="O180">
        <v>1787808986220</v>
      </c>
      <c r="P180" t="s">
        <v>65</v>
      </c>
      <c r="S180" t="s">
        <v>259</v>
      </c>
      <c r="T180" t="s">
        <v>67</v>
      </c>
      <c r="U180" t="s">
        <v>87</v>
      </c>
      <c r="V180">
        <v>7519247</v>
      </c>
      <c r="W180" t="b">
        <v>0</v>
      </c>
      <c r="X180">
        <v>0</v>
      </c>
      <c r="Y180" t="s">
        <v>260</v>
      </c>
      <c r="Z180" t="b">
        <v>1</v>
      </c>
      <c r="AA180" t="s">
        <v>261</v>
      </c>
      <c r="AB180">
        <v>270826010600</v>
      </c>
      <c r="AC180" t="s">
        <v>262</v>
      </c>
      <c r="AD180" t="s">
        <v>262</v>
      </c>
      <c r="AE180">
        <v>11</v>
      </c>
      <c r="AF180">
        <v>6</v>
      </c>
      <c r="AG180" t="s">
        <v>91</v>
      </c>
      <c r="AH180" t="s">
        <v>259</v>
      </c>
      <c r="AI180" t="s">
        <v>74</v>
      </c>
      <c r="AJ180" t="s">
        <v>263</v>
      </c>
      <c r="AK180" t="s">
        <v>76</v>
      </c>
      <c r="AL180" t="s">
        <v>264</v>
      </c>
      <c r="AM180" t="s">
        <v>78</v>
      </c>
      <c r="AN180" t="b">
        <v>1</v>
      </c>
      <c r="AO180">
        <v>1019</v>
      </c>
      <c r="AP180" t="s">
        <v>65</v>
      </c>
      <c r="AQ180" t="b">
        <v>0</v>
      </c>
      <c r="AS180">
        <v>2000000</v>
      </c>
      <c r="AU180">
        <v>1000000</v>
      </c>
      <c r="AV180">
        <v>0</v>
      </c>
      <c r="AW180" t="b">
        <v>0</v>
      </c>
      <c r="AX180" t="b">
        <v>0</v>
      </c>
      <c r="AY180" t="s">
        <v>79</v>
      </c>
      <c r="AZ180" t="b">
        <v>0</v>
      </c>
      <c r="BA180" t="s">
        <v>265</v>
      </c>
      <c r="BB180" t="s">
        <v>266</v>
      </c>
      <c r="BC180" t="s">
        <v>82</v>
      </c>
      <c r="BD180" t="b">
        <v>0</v>
      </c>
      <c r="BE180">
        <v>20</v>
      </c>
      <c r="BF180" t="b">
        <v>0</v>
      </c>
    </row>
    <row r="181" spans="1:58" x14ac:dyDescent="0.25">
      <c r="A181">
        <v>3.5</v>
      </c>
      <c r="B181">
        <v>50684</v>
      </c>
      <c r="C181" t="s">
        <v>205</v>
      </c>
      <c r="D181" t="s">
        <v>206</v>
      </c>
      <c r="E181">
        <v>0.90694444444444444</v>
      </c>
      <c r="G181">
        <v>1</v>
      </c>
      <c r="K181" t="b">
        <v>0</v>
      </c>
      <c r="M181">
        <v>124269780</v>
      </c>
      <c r="N181" t="s">
        <v>208</v>
      </c>
      <c r="O181">
        <v>1787573816905</v>
      </c>
      <c r="P181" t="s">
        <v>65</v>
      </c>
      <c r="S181" t="s">
        <v>267</v>
      </c>
      <c r="T181" t="s">
        <v>67</v>
      </c>
      <c r="U181" t="s">
        <v>211</v>
      </c>
      <c r="V181">
        <v>13832</v>
      </c>
      <c r="W181" t="b">
        <v>0</v>
      </c>
      <c r="X181">
        <v>0</v>
      </c>
      <c r="Y181" t="s">
        <v>268</v>
      </c>
      <c r="Z181" t="b">
        <v>1</v>
      </c>
      <c r="AA181" t="s">
        <v>213</v>
      </c>
      <c r="AB181">
        <v>170826030591</v>
      </c>
      <c r="AC181" t="s">
        <v>214</v>
      </c>
      <c r="AD181" t="s">
        <v>214</v>
      </c>
      <c r="AE181">
        <v>9</v>
      </c>
      <c r="AF181">
        <v>7</v>
      </c>
      <c r="AG181" t="s">
        <v>91</v>
      </c>
      <c r="AH181" t="s">
        <v>267</v>
      </c>
      <c r="AI181" t="s">
        <v>74</v>
      </c>
      <c r="AJ181" t="s">
        <v>75</v>
      </c>
      <c r="AK181" t="s">
        <v>76</v>
      </c>
      <c r="AL181" t="s">
        <v>215</v>
      </c>
      <c r="AM181" t="s">
        <v>78</v>
      </c>
      <c r="AN181" t="b">
        <v>1</v>
      </c>
      <c r="AO181">
        <v>1028</v>
      </c>
      <c r="AP181" t="s">
        <v>65</v>
      </c>
      <c r="AQ181" t="b">
        <v>1</v>
      </c>
      <c r="AR181">
        <v>0</v>
      </c>
      <c r="AS181">
        <v>0</v>
      </c>
      <c r="AT181">
        <v>0</v>
      </c>
      <c r="AU181">
        <v>0</v>
      </c>
      <c r="AV181">
        <v>0</v>
      </c>
      <c r="AW181" t="b">
        <v>0</v>
      </c>
      <c r="AX181" t="b">
        <v>0</v>
      </c>
      <c r="AY181" t="s">
        <v>79</v>
      </c>
      <c r="AZ181" t="b">
        <v>0</v>
      </c>
      <c r="BA181" t="s">
        <v>216</v>
      </c>
      <c r="BB181" t="s">
        <v>217</v>
      </c>
      <c r="BC181" t="s">
        <v>218</v>
      </c>
      <c r="BD181" t="b">
        <v>0</v>
      </c>
      <c r="BE181">
        <v>1000</v>
      </c>
      <c r="BF181" t="b">
        <v>0</v>
      </c>
    </row>
    <row r="182" spans="1:58" x14ac:dyDescent="0.25">
      <c r="A182">
        <v>3.8</v>
      </c>
      <c r="B182">
        <v>6281</v>
      </c>
      <c r="C182" t="s">
        <v>176</v>
      </c>
      <c r="D182" t="s">
        <v>177</v>
      </c>
      <c r="E182">
        <v>0.90138888888888891</v>
      </c>
      <c r="F182" t="s">
        <v>178</v>
      </c>
      <c r="G182">
        <v>1</v>
      </c>
      <c r="H182">
        <v>15127</v>
      </c>
      <c r="K182" t="b">
        <v>1</v>
      </c>
      <c r="L182" t="s">
        <v>179</v>
      </c>
      <c r="M182">
        <v>1369478</v>
      </c>
      <c r="N182" t="s">
        <v>180</v>
      </c>
      <c r="O182">
        <v>1766146126000</v>
      </c>
      <c r="P182" t="s">
        <v>65</v>
      </c>
      <c r="S182" t="s">
        <v>181</v>
      </c>
      <c r="T182" t="s">
        <v>67</v>
      </c>
      <c r="U182" t="s">
        <v>68</v>
      </c>
      <c r="V182">
        <v>164080</v>
      </c>
      <c r="W182" t="b">
        <v>0</v>
      </c>
      <c r="X182">
        <v>0</v>
      </c>
      <c r="Y182" t="s">
        <v>182</v>
      </c>
      <c r="Z182" t="b">
        <v>0</v>
      </c>
      <c r="AA182" t="s">
        <v>183</v>
      </c>
      <c r="AB182">
        <v>191225503735</v>
      </c>
      <c r="AC182" t="s">
        <v>184</v>
      </c>
      <c r="AD182" t="s">
        <v>184</v>
      </c>
      <c r="AE182">
        <v>7</v>
      </c>
      <c r="AF182">
        <v>3</v>
      </c>
      <c r="AG182" t="s">
        <v>73</v>
      </c>
      <c r="AH182" t="s">
        <v>181</v>
      </c>
      <c r="AI182" t="s">
        <v>74</v>
      </c>
      <c r="AJ182" t="s">
        <v>75</v>
      </c>
      <c r="AK182" t="s">
        <v>76</v>
      </c>
      <c r="AL182" t="s">
        <v>135</v>
      </c>
      <c r="AM182" t="s">
        <v>78</v>
      </c>
      <c r="AN182" t="b">
        <v>0</v>
      </c>
      <c r="AO182">
        <v>1019</v>
      </c>
      <c r="AP182" t="s">
        <v>65</v>
      </c>
      <c r="AQ182" t="b">
        <v>1</v>
      </c>
      <c r="AR182">
        <v>0</v>
      </c>
      <c r="AS182">
        <v>0</v>
      </c>
      <c r="AT182">
        <v>0</v>
      </c>
      <c r="AU182">
        <v>0</v>
      </c>
      <c r="AV182">
        <v>0</v>
      </c>
      <c r="AW182" t="b">
        <v>0</v>
      </c>
      <c r="AX182" t="b">
        <v>0</v>
      </c>
      <c r="AY182" t="s">
        <v>79</v>
      </c>
      <c r="AZ182" t="b">
        <v>0</v>
      </c>
      <c r="BA182" t="s">
        <v>185</v>
      </c>
      <c r="BB182" t="s">
        <v>186</v>
      </c>
      <c r="BC182" t="s">
        <v>187</v>
      </c>
      <c r="BD182" t="b">
        <v>0</v>
      </c>
      <c r="BF182" t="b">
        <v>0</v>
      </c>
    </row>
    <row r="183" spans="1:58" x14ac:dyDescent="0.25">
      <c r="A183">
        <v>3.4</v>
      </c>
      <c r="B183">
        <v>47884</v>
      </c>
      <c r="C183" t="s">
        <v>83</v>
      </c>
      <c r="D183" t="s">
        <v>84</v>
      </c>
      <c r="E183">
        <v>0.62777777777777777</v>
      </c>
      <c r="G183">
        <v>1</v>
      </c>
      <c r="H183">
        <v>3730</v>
      </c>
      <c r="K183" t="b">
        <v>0</v>
      </c>
      <c r="M183">
        <v>2904476</v>
      </c>
      <c r="N183" t="s">
        <v>85</v>
      </c>
      <c r="O183">
        <v>1787808879920</v>
      </c>
      <c r="P183" t="s">
        <v>65</v>
      </c>
      <c r="S183" t="s">
        <v>86</v>
      </c>
      <c r="T183" t="s">
        <v>67</v>
      </c>
      <c r="U183" t="s">
        <v>87</v>
      </c>
      <c r="V183">
        <v>194354</v>
      </c>
      <c r="W183" t="b">
        <v>0</v>
      </c>
      <c r="X183">
        <v>0</v>
      </c>
      <c r="Y183" t="s">
        <v>88</v>
      </c>
      <c r="Z183" t="b">
        <v>1</v>
      </c>
      <c r="AA183" t="s">
        <v>89</v>
      </c>
      <c r="AB183">
        <v>270826010477</v>
      </c>
      <c r="AC183" t="s">
        <v>90</v>
      </c>
      <c r="AD183" t="s">
        <v>90</v>
      </c>
      <c r="AE183">
        <v>7</v>
      </c>
      <c r="AF183">
        <v>4</v>
      </c>
      <c r="AG183" t="s">
        <v>91</v>
      </c>
      <c r="AH183" t="s">
        <v>86</v>
      </c>
      <c r="AI183" t="s">
        <v>74</v>
      </c>
      <c r="AJ183" t="s">
        <v>75</v>
      </c>
      <c r="AK183" t="s">
        <v>76</v>
      </c>
      <c r="AL183" t="s">
        <v>92</v>
      </c>
      <c r="AM183" t="s">
        <v>78</v>
      </c>
      <c r="AN183" t="b">
        <v>1</v>
      </c>
      <c r="AO183">
        <v>1020</v>
      </c>
      <c r="AP183" t="s">
        <v>65</v>
      </c>
      <c r="AQ183" t="b">
        <v>1</v>
      </c>
      <c r="AR183">
        <v>0</v>
      </c>
      <c r="AS183">
        <v>0</v>
      </c>
      <c r="AT183">
        <v>0</v>
      </c>
      <c r="AU183">
        <v>0</v>
      </c>
      <c r="AV183">
        <v>0</v>
      </c>
      <c r="AW183" t="b">
        <v>0</v>
      </c>
      <c r="AX183" t="b">
        <v>0</v>
      </c>
      <c r="AY183" t="s">
        <v>79</v>
      </c>
      <c r="AZ183" t="b">
        <v>0</v>
      </c>
      <c r="BA183" t="s">
        <v>93</v>
      </c>
      <c r="BB183" t="s">
        <v>94</v>
      </c>
      <c r="BC183" t="s">
        <v>82</v>
      </c>
      <c r="BD183" t="b">
        <v>0</v>
      </c>
      <c r="BF183" t="b">
        <v>0</v>
      </c>
    </row>
    <row r="184" spans="1:58" x14ac:dyDescent="0.25">
      <c r="A184">
        <v>3.3</v>
      </c>
      <c r="B184">
        <v>13397</v>
      </c>
      <c r="C184" t="s">
        <v>95</v>
      </c>
      <c r="D184" t="s">
        <v>96</v>
      </c>
      <c r="E184">
        <v>0.69722222222222219</v>
      </c>
      <c r="G184">
        <v>1</v>
      </c>
      <c r="K184" t="b">
        <v>0</v>
      </c>
      <c r="M184">
        <v>676499</v>
      </c>
      <c r="N184" t="s">
        <v>97</v>
      </c>
      <c r="O184">
        <v>1787728452770</v>
      </c>
      <c r="P184" t="s">
        <v>65</v>
      </c>
      <c r="S184" t="s">
        <v>98</v>
      </c>
      <c r="T184" t="s">
        <v>67</v>
      </c>
      <c r="U184" t="s">
        <v>99</v>
      </c>
      <c r="V184">
        <v>9246</v>
      </c>
      <c r="W184" t="b">
        <v>0</v>
      </c>
      <c r="X184">
        <v>0</v>
      </c>
      <c r="Y184" t="s">
        <v>100</v>
      </c>
      <c r="Z184" t="b">
        <v>1</v>
      </c>
      <c r="AA184" t="s">
        <v>101</v>
      </c>
      <c r="AB184">
        <v>260826016031</v>
      </c>
      <c r="AC184" t="s">
        <v>102</v>
      </c>
      <c r="AD184" t="s">
        <v>102</v>
      </c>
      <c r="AE184">
        <v>8</v>
      </c>
      <c r="AF184">
        <v>4</v>
      </c>
      <c r="AG184" t="s">
        <v>91</v>
      </c>
      <c r="AH184" t="s">
        <v>98</v>
      </c>
      <c r="AI184" t="s">
        <v>74</v>
      </c>
      <c r="AJ184" t="s">
        <v>75</v>
      </c>
      <c r="AK184" t="s">
        <v>76</v>
      </c>
      <c r="AL184" t="s">
        <v>103</v>
      </c>
      <c r="AM184" t="s">
        <v>78</v>
      </c>
      <c r="AN184" t="b">
        <v>1</v>
      </c>
      <c r="AO184">
        <v>1019</v>
      </c>
      <c r="AP184" t="s">
        <v>65</v>
      </c>
      <c r="AQ184" t="b">
        <v>1</v>
      </c>
      <c r="AR184">
        <v>0</v>
      </c>
      <c r="AS184">
        <v>0</v>
      </c>
      <c r="AT184">
        <v>0</v>
      </c>
      <c r="AU184">
        <v>0</v>
      </c>
      <c r="AV184">
        <v>0</v>
      </c>
      <c r="AW184" t="b">
        <v>0</v>
      </c>
      <c r="AX184" t="b">
        <v>0</v>
      </c>
      <c r="AY184" t="s">
        <v>79</v>
      </c>
      <c r="AZ184" t="b">
        <v>0</v>
      </c>
      <c r="BA184" t="s">
        <v>104</v>
      </c>
      <c r="BB184" t="s">
        <v>105</v>
      </c>
      <c r="BC184" t="s">
        <v>82</v>
      </c>
      <c r="BD184" t="b">
        <v>0</v>
      </c>
      <c r="BE184">
        <v>4</v>
      </c>
      <c r="BF184" t="b">
        <v>0</v>
      </c>
    </row>
    <row r="185" spans="1:58" x14ac:dyDescent="0.25">
      <c r="E185">
        <v>0.91874999999999996</v>
      </c>
      <c r="F185" t="s">
        <v>188</v>
      </c>
      <c r="G185">
        <v>1</v>
      </c>
      <c r="K185" t="b">
        <v>1</v>
      </c>
      <c r="L185" t="s">
        <v>189</v>
      </c>
      <c r="M185">
        <v>125076821</v>
      </c>
      <c r="N185" t="s">
        <v>190</v>
      </c>
      <c r="O185">
        <v>1783341207000</v>
      </c>
      <c r="P185" t="s">
        <v>65</v>
      </c>
      <c r="S185" t="s">
        <v>191</v>
      </c>
      <c r="T185" t="s">
        <v>67</v>
      </c>
      <c r="U185" t="s">
        <v>68</v>
      </c>
      <c r="V185">
        <v>7029887</v>
      </c>
      <c r="W185" t="b">
        <v>0</v>
      </c>
      <c r="X185">
        <v>0</v>
      </c>
      <c r="Y185" t="s">
        <v>192</v>
      </c>
      <c r="Z185" t="b">
        <v>0</v>
      </c>
      <c r="AA185" t="s">
        <v>193</v>
      </c>
      <c r="AB185" t="s">
        <v>194</v>
      </c>
      <c r="AC185" t="s">
        <v>195</v>
      </c>
      <c r="AD185" t="s">
        <v>195</v>
      </c>
      <c r="AE185">
        <v>10</v>
      </c>
      <c r="AF185">
        <v>5</v>
      </c>
      <c r="AG185" t="s">
        <v>73</v>
      </c>
      <c r="AH185" t="s">
        <v>191</v>
      </c>
      <c r="AI185" t="s">
        <v>74</v>
      </c>
      <c r="AJ185" t="s">
        <v>75</v>
      </c>
      <c r="AK185" t="s">
        <v>76</v>
      </c>
      <c r="AL185" t="s">
        <v>135</v>
      </c>
      <c r="AM185" t="s">
        <v>78</v>
      </c>
      <c r="AN185" t="b">
        <v>0</v>
      </c>
      <c r="AO185">
        <v>1019</v>
      </c>
      <c r="AP185" t="s">
        <v>65</v>
      </c>
      <c r="AQ185" t="b">
        <v>1</v>
      </c>
      <c r="AR185">
        <v>0</v>
      </c>
      <c r="AS185">
        <v>0</v>
      </c>
      <c r="AT185">
        <v>0</v>
      </c>
      <c r="AU185">
        <v>0</v>
      </c>
      <c r="AV185">
        <v>0</v>
      </c>
      <c r="AW185" t="b">
        <v>0</v>
      </c>
      <c r="AX185" t="b">
        <v>0</v>
      </c>
      <c r="AY185" t="s">
        <v>79</v>
      </c>
      <c r="AZ185" t="b">
        <v>0</v>
      </c>
      <c r="BA185" t="s">
        <v>196</v>
      </c>
      <c r="BB185" t="s">
        <v>197</v>
      </c>
      <c r="BC185" t="s">
        <v>198</v>
      </c>
      <c r="BD185" t="b">
        <v>0</v>
      </c>
      <c r="BF185" t="b">
        <v>0</v>
      </c>
    </row>
    <row r="186" spans="1:58" x14ac:dyDescent="0.25">
      <c r="A186">
        <v>3.9</v>
      </c>
      <c r="B186">
        <v>26716</v>
      </c>
      <c r="C186" t="s">
        <v>126</v>
      </c>
      <c r="D186" t="s">
        <v>127</v>
      </c>
      <c r="E186">
        <v>0.74861111111111112</v>
      </c>
      <c r="F186" t="s">
        <v>128</v>
      </c>
      <c r="G186">
        <v>1</v>
      </c>
      <c r="H186">
        <v>10201</v>
      </c>
      <c r="K186" t="b">
        <v>1</v>
      </c>
      <c r="L186" t="s">
        <v>129</v>
      </c>
      <c r="M186">
        <v>16987</v>
      </c>
      <c r="N186" t="s">
        <v>130</v>
      </c>
      <c r="O186">
        <v>1787819294543</v>
      </c>
      <c r="P186" t="s">
        <v>65</v>
      </c>
      <c r="S186" t="s">
        <v>131</v>
      </c>
      <c r="T186" t="s">
        <v>67</v>
      </c>
      <c r="U186" t="s">
        <v>87</v>
      </c>
      <c r="V186">
        <v>19288</v>
      </c>
      <c r="W186" t="b">
        <v>0</v>
      </c>
      <c r="X186">
        <v>0</v>
      </c>
      <c r="Y186" t="s">
        <v>132</v>
      </c>
      <c r="Z186" t="b">
        <v>0</v>
      </c>
      <c r="AA186" t="s">
        <v>133</v>
      </c>
      <c r="AB186">
        <v>270826917532</v>
      </c>
      <c r="AC186" t="s">
        <v>134</v>
      </c>
      <c r="AD186" t="s">
        <v>134</v>
      </c>
      <c r="AE186">
        <v>8</v>
      </c>
      <c r="AF186">
        <v>6</v>
      </c>
      <c r="AG186" t="s">
        <v>91</v>
      </c>
      <c r="AH186" t="s">
        <v>131</v>
      </c>
      <c r="AI186" t="s">
        <v>74</v>
      </c>
      <c r="AJ186" t="s">
        <v>75</v>
      </c>
      <c r="AK186" t="s">
        <v>76</v>
      </c>
      <c r="AL186" t="s">
        <v>135</v>
      </c>
      <c r="AM186" t="s">
        <v>78</v>
      </c>
      <c r="AN186" t="b">
        <v>0</v>
      </c>
      <c r="AO186">
        <v>1019</v>
      </c>
      <c r="AP186" t="s">
        <v>65</v>
      </c>
      <c r="AQ186" t="b">
        <v>1</v>
      </c>
      <c r="AR186">
        <v>0</v>
      </c>
      <c r="AS186">
        <v>0</v>
      </c>
      <c r="AT186">
        <v>0</v>
      </c>
      <c r="AU186">
        <v>0</v>
      </c>
      <c r="AV186">
        <v>0</v>
      </c>
      <c r="AW186" t="b">
        <v>0</v>
      </c>
      <c r="AX186" t="b">
        <v>0</v>
      </c>
      <c r="AY186" t="s">
        <v>79</v>
      </c>
      <c r="AZ186" t="b">
        <v>0</v>
      </c>
      <c r="BA186" t="s">
        <v>136</v>
      </c>
      <c r="BB186" t="s">
        <v>137</v>
      </c>
      <c r="BC186" t="s">
        <v>138</v>
      </c>
      <c r="BD186" t="b">
        <v>0</v>
      </c>
      <c r="BF186" t="b">
        <v>0</v>
      </c>
    </row>
    <row r="187" spans="1:58" x14ac:dyDescent="0.25">
      <c r="A187">
        <v>3.9</v>
      </c>
      <c r="B187">
        <v>26716</v>
      </c>
      <c r="C187" t="s">
        <v>126</v>
      </c>
      <c r="D187" t="s">
        <v>127</v>
      </c>
      <c r="E187">
        <v>0.5805555555555556</v>
      </c>
      <c r="F187" t="s">
        <v>139</v>
      </c>
      <c r="G187">
        <v>1</v>
      </c>
      <c r="H187">
        <v>10201</v>
      </c>
      <c r="K187" t="b">
        <v>1</v>
      </c>
      <c r="L187" t="s">
        <v>140</v>
      </c>
      <c r="M187">
        <v>16987</v>
      </c>
      <c r="N187" t="s">
        <v>130</v>
      </c>
      <c r="O187">
        <v>1787718372586</v>
      </c>
      <c r="P187" t="s">
        <v>65</v>
      </c>
      <c r="S187" t="s">
        <v>118</v>
      </c>
      <c r="T187" t="s">
        <v>67</v>
      </c>
      <c r="U187" t="s">
        <v>99</v>
      </c>
      <c r="V187">
        <v>19288</v>
      </c>
      <c r="W187" t="b">
        <v>0</v>
      </c>
      <c r="X187">
        <v>0</v>
      </c>
      <c r="Y187" t="s">
        <v>141</v>
      </c>
      <c r="Z187" t="b">
        <v>0</v>
      </c>
      <c r="AA187" t="s">
        <v>142</v>
      </c>
      <c r="AB187">
        <v>260826909019</v>
      </c>
      <c r="AC187" t="s">
        <v>134</v>
      </c>
      <c r="AD187" t="s">
        <v>134</v>
      </c>
      <c r="AE187">
        <v>10</v>
      </c>
      <c r="AF187">
        <v>8</v>
      </c>
      <c r="AG187" t="s">
        <v>91</v>
      </c>
      <c r="AH187" t="s">
        <v>118</v>
      </c>
      <c r="AI187" t="s">
        <v>74</v>
      </c>
      <c r="AJ187" t="s">
        <v>75</v>
      </c>
      <c r="AK187" t="s">
        <v>76</v>
      </c>
      <c r="AL187" t="s">
        <v>135</v>
      </c>
      <c r="AM187" t="s">
        <v>78</v>
      </c>
      <c r="AN187" t="b">
        <v>0</v>
      </c>
      <c r="AO187">
        <v>1019</v>
      </c>
      <c r="AP187" t="s">
        <v>65</v>
      </c>
      <c r="AQ187" t="b">
        <v>1</v>
      </c>
      <c r="AR187">
        <v>0</v>
      </c>
      <c r="AS187">
        <v>0</v>
      </c>
      <c r="AT187">
        <v>0</v>
      </c>
      <c r="AU187">
        <v>0</v>
      </c>
      <c r="AV187">
        <v>0</v>
      </c>
      <c r="AW187" t="b">
        <v>0</v>
      </c>
      <c r="AX187" t="b">
        <v>0</v>
      </c>
      <c r="AY187" t="s">
        <v>79</v>
      </c>
      <c r="AZ187" t="b">
        <v>0</v>
      </c>
      <c r="BA187" t="s">
        <v>136</v>
      </c>
      <c r="BB187" t="s">
        <v>143</v>
      </c>
      <c r="BC187" t="s">
        <v>138</v>
      </c>
      <c r="BD187" t="b">
        <v>0</v>
      </c>
      <c r="BF187" t="b">
        <v>0</v>
      </c>
    </row>
    <row r="188" spans="1:58" x14ac:dyDescent="0.25">
      <c r="A188">
        <v>3.9</v>
      </c>
      <c r="B188">
        <v>26716</v>
      </c>
      <c r="C188" t="s">
        <v>126</v>
      </c>
      <c r="D188" t="s">
        <v>127</v>
      </c>
      <c r="E188">
        <v>0.79583333333333328</v>
      </c>
      <c r="F188" t="s">
        <v>199</v>
      </c>
      <c r="G188">
        <v>1</v>
      </c>
      <c r="H188">
        <v>10201</v>
      </c>
      <c r="K188" t="b">
        <v>1</v>
      </c>
      <c r="L188" t="s">
        <v>200</v>
      </c>
      <c r="M188">
        <v>16987</v>
      </c>
      <c r="N188" t="s">
        <v>130</v>
      </c>
      <c r="O188">
        <v>1787218594529</v>
      </c>
      <c r="P188" t="s">
        <v>65</v>
      </c>
      <c r="S188" t="s">
        <v>191</v>
      </c>
      <c r="T188" t="s">
        <v>67</v>
      </c>
      <c r="U188" t="s">
        <v>201</v>
      </c>
      <c r="V188">
        <v>19288</v>
      </c>
      <c r="W188" t="b">
        <v>0</v>
      </c>
      <c r="X188">
        <v>0</v>
      </c>
      <c r="Y188" t="s">
        <v>202</v>
      </c>
      <c r="Z188" t="b">
        <v>0</v>
      </c>
      <c r="AA188" t="s">
        <v>203</v>
      </c>
      <c r="AB188">
        <v>200826923685</v>
      </c>
      <c r="AC188" t="s">
        <v>134</v>
      </c>
      <c r="AD188" t="s">
        <v>134</v>
      </c>
      <c r="AE188">
        <v>10</v>
      </c>
      <c r="AF188">
        <v>5</v>
      </c>
      <c r="AG188" t="s">
        <v>91</v>
      </c>
      <c r="AH188" t="s">
        <v>191</v>
      </c>
      <c r="AI188" t="s">
        <v>74</v>
      </c>
      <c r="AJ188" t="s">
        <v>75</v>
      </c>
      <c r="AK188" t="s">
        <v>76</v>
      </c>
      <c r="AL188" t="s">
        <v>135</v>
      </c>
      <c r="AM188" t="s">
        <v>78</v>
      </c>
      <c r="AN188" t="b">
        <v>0</v>
      </c>
      <c r="AO188">
        <v>1019</v>
      </c>
      <c r="AP188" t="s">
        <v>65</v>
      </c>
      <c r="AQ188" t="b">
        <v>1</v>
      </c>
      <c r="AR188">
        <v>0</v>
      </c>
      <c r="AS188">
        <v>0</v>
      </c>
      <c r="AT188">
        <v>0</v>
      </c>
      <c r="AU188">
        <v>0</v>
      </c>
      <c r="AV188">
        <v>0</v>
      </c>
      <c r="AW188" t="b">
        <v>0</v>
      </c>
      <c r="AX188" t="b">
        <v>0</v>
      </c>
      <c r="AY188" t="s">
        <v>79</v>
      </c>
      <c r="AZ188" t="b">
        <v>0</v>
      </c>
      <c r="BA188" t="s">
        <v>136</v>
      </c>
      <c r="BB188" t="s">
        <v>204</v>
      </c>
      <c r="BC188" t="s">
        <v>138</v>
      </c>
      <c r="BD188" t="b">
        <v>0</v>
      </c>
      <c r="BF188" t="b">
        <v>0</v>
      </c>
    </row>
    <row r="189" spans="1:58" x14ac:dyDescent="0.25">
      <c r="A189">
        <v>3.2</v>
      </c>
      <c r="B189">
        <v>118481</v>
      </c>
      <c r="C189" t="s">
        <v>144</v>
      </c>
      <c r="D189" t="s">
        <v>145</v>
      </c>
      <c r="E189">
        <v>0.8208333333333333</v>
      </c>
      <c r="G189">
        <v>1</v>
      </c>
      <c r="H189">
        <v>2949</v>
      </c>
      <c r="K189" t="b">
        <v>0</v>
      </c>
      <c r="M189">
        <v>892542</v>
      </c>
      <c r="N189" t="s">
        <v>146</v>
      </c>
      <c r="O189">
        <v>1787911934859</v>
      </c>
      <c r="P189" t="s">
        <v>65</v>
      </c>
      <c r="S189" t="s">
        <v>147</v>
      </c>
      <c r="T189" t="s">
        <v>67</v>
      </c>
      <c r="U189" t="s">
        <v>119</v>
      </c>
      <c r="V189">
        <v>223346</v>
      </c>
      <c r="W189" t="b">
        <v>0</v>
      </c>
      <c r="X189">
        <v>0</v>
      </c>
      <c r="Y189" t="s">
        <v>148</v>
      </c>
      <c r="Z189" t="b">
        <v>1</v>
      </c>
      <c r="AA189" t="s">
        <v>149</v>
      </c>
      <c r="AB189">
        <v>280826008430</v>
      </c>
      <c r="AC189" t="s">
        <v>150</v>
      </c>
      <c r="AD189" t="s">
        <v>150</v>
      </c>
      <c r="AE189">
        <v>10</v>
      </c>
      <c r="AF189">
        <v>6</v>
      </c>
      <c r="AG189" t="s">
        <v>91</v>
      </c>
      <c r="AH189" t="s">
        <v>147</v>
      </c>
      <c r="AI189" t="s">
        <v>74</v>
      </c>
      <c r="AJ189" t="s">
        <v>75</v>
      </c>
      <c r="AK189" t="s">
        <v>76</v>
      </c>
      <c r="AL189" t="s">
        <v>151</v>
      </c>
      <c r="AM189" t="s">
        <v>78</v>
      </c>
      <c r="AN189" t="b">
        <v>0</v>
      </c>
      <c r="AO189">
        <v>1019</v>
      </c>
      <c r="AP189" t="s">
        <v>65</v>
      </c>
      <c r="AQ189" t="b">
        <v>1</v>
      </c>
      <c r="AR189">
        <v>0</v>
      </c>
      <c r="AS189">
        <v>0</v>
      </c>
      <c r="AT189">
        <v>0</v>
      </c>
      <c r="AU189">
        <v>0</v>
      </c>
      <c r="AV189">
        <v>0</v>
      </c>
      <c r="AW189" t="b">
        <v>0</v>
      </c>
      <c r="AX189" t="b">
        <v>0</v>
      </c>
      <c r="AY189" t="s">
        <v>79</v>
      </c>
      <c r="AZ189" t="b">
        <v>0</v>
      </c>
      <c r="BA189" t="s">
        <v>152</v>
      </c>
      <c r="BB189" t="s">
        <v>153</v>
      </c>
      <c r="BC189" t="s">
        <v>82</v>
      </c>
      <c r="BD189" t="b">
        <v>0</v>
      </c>
      <c r="BF189" t="b">
        <v>0</v>
      </c>
    </row>
    <row r="190" spans="1:58" x14ac:dyDescent="0.25">
      <c r="A190">
        <v>3.7</v>
      </c>
      <c r="B190">
        <v>6800</v>
      </c>
      <c r="C190" t="s">
        <v>165</v>
      </c>
      <c r="D190" t="s">
        <v>166</v>
      </c>
      <c r="E190">
        <v>0.92569444444444449</v>
      </c>
      <c r="G190">
        <v>1</v>
      </c>
      <c r="H190">
        <v>2639</v>
      </c>
      <c r="K190" t="b">
        <v>0</v>
      </c>
      <c r="M190">
        <v>19934</v>
      </c>
      <c r="N190" t="s">
        <v>167</v>
      </c>
      <c r="O190">
        <v>1787316218988</v>
      </c>
      <c r="P190" t="s">
        <v>65</v>
      </c>
      <c r="S190" t="s">
        <v>168</v>
      </c>
      <c r="T190" t="s">
        <v>67</v>
      </c>
      <c r="U190" t="s">
        <v>169</v>
      </c>
      <c r="V190">
        <v>21746</v>
      </c>
      <c r="W190" t="b">
        <v>0</v>
      </c>
      <c r="X190">
        <v>0</v>
      </c>
      <c r="Y190" t="s">
        <v>170</v>
      </c>
      <c r="Z190" t="b">
        <v>1</v>
      </c>
      <c r="AA190" t="s">
        <v>171</v>
      </c>
      <c r="AB190">
        <v>210826932923</v>
      </c>
      <c r="AC190" t="s">
        <v>172</v>
      </c>
      <c r="AD190" t="s">
        <v>172</v>
      </c>
      <c r="AE190">
        <v>13</v>
      </c>
      <c r="AF190">
        <v>8</v>
      </c>
      <c r="AG190" t="s">
        <v>91</v>
      </c>
      <c r="AH190" t="s">
        <v>168</v>
      </c>
      <c r="AI190" t="s">
        <v>74</v>
      </c>
      <c r="AJ190" t="s">
        <v>75</v>
      </c>
      <c r="AK190" t="s">
        <v>76</v>
      </c>
      <c r="AL190" t="s">
        <v>135</v>
      </c>
      <c r="AM190" t="s">
        <v>78</v>
      </c>
      <c r="AN190" t="b">
        <v>0</v>
      </c>
      <c r="AO190">
        <v>1028</v>
      </c>
      <c r="AP190" t="s">
        <v>65</v>
      </c>
      <c r="AQ190" t="b">
        <v>1</v>
      </c>
      <c r="AR190">
        <v>0</v>
      </c>
      <c r="AS190">
        <v>0</v>
      </c>
      <c r="AT190">
        <v>0</v>
      </c>
      <c r="AU190">
        <v>0</v>
      </c>
      <c r="AV190">
        <v>0</v>
      </c>
      <c r="AW190" t="b">
        <v>0</v>
      </c>
      <c r="AX190" t="b">
        <v>0</v>
      </c>
      <c r="AY190" t="s">
        <v>79</v>
      </c>
      <c r="AZ190" t="b">
        <v>0</v>
      </c>
      <c r="BA190" t="s">
        <v>173</v>
      </c>
      <c r="BB190" t="s">
        <v>174</v>
      </c>
      <c r="BC190" t="s">
        <v>175</v>
      </c>
      <c r="BD190" t="b">
        <v>0</v>
      </c>
      <c r="BF190" t="b">
        <v>0</v>
      </c>
    </row>
    <row r="191" spans="1:58" x14ac:dyDescent="0.25">
      <c r="A191">
        <v>3.5</v>
      </c>
      <c r="B191">
        <v>50684</v>
      </c>
      <c r="C191" t="s">
        <v>205</v>
      </c>
      <c r="D191" t="s">
        <v>206</v>
      </c>
      <c r="E191">
        <v>0.90694444444444444</v>
      </c>
      <c r="G191">
        <v>1</v>
      </c>
      <c r="I191">
        <v>1</v>
      </c>
      <c r="J191" t="s">
        <v>207</v>
      </c>
      <c r="K191" t="b">
        <v>0</v>
      </c>
      <c r="M191">
        <v>124269780</v>
      </c>
      <c r="N191" t="s">
        <v>208</v>
      </c>
      <c r="O191">
        <v>1787573805796</v>
      </c>
      <c r="P191" t="s">
        <v>65</v>
      </c>
      <c r="Q191" t="s">
        <v>209</v>
      </c>
      <c r="R191" t="b">
        <v>0</v>
      </c>
      <c r="S191" t="s">
        <v>210</v>
      </c>
      <c r="T191" t="s">
        <v>67</v>
      </c>
      <c r="U191" t="s">
        <v>211</v>
      </c>
      <c r="V191">
        <v>13832</v>
      </c>
      <c r="W191" t="b">
        <v>0</v>
      </c>
      <c r="X191">
        <v>0</v>
      </c>
      <c r="Y191" t="s">
        <v>212</v>
      </c>
      <c r="Z191" t="b">
        <v>0</v>
      </c>
      <c r="AA191" t="s">
        <v>213</v>
      </c>
      <c r="AB191">
        <v>170826004896</v>
      </c>
      <c r="AC191" t="s">
        <v>214</v>
      </c>
      <c r="AD191" t="s">
        <v>214</v>
      </c>
      <c r="AE191">
        <v>8</v>
      </c>
      <c r="AF191">
        <v>5</v>
      </c>
      <c r="AG191" t="s">
        <v>91</v>
      </c>
      <c r="AH191" t="s">
        <v>210</v>
      </c>
      <c r="AI191" t="s">
        <v>74</v>
      </c>
      <c r="AJ191" t="s">
        <v>75</v>
      </c>
      <c r="AK191" t="s">
        <v>76</v>
      </c>
      <c r="AL191" t="s">
        <v>215</v>
      </c>
      <c r="AM191" t="s">
        <v>78</v>
      </c>
      <c r="AN191" t="b">
        <v>1</v>
      </c>
      <c r="AO191">
        <v>1028</v>
      </c>
      <c r="AP191" t="s">
        <v>65</v>
      </c>
      <c r="AQ191" t="b">
        <v>1</v>
      </c>
      <c r="AR191">
        <v>0</v>
      </c>
      <c r="AS191">
        <v>0</v>
      </c>
      <c r="AT191">
        <v>0</v>
      </c>
      <c r="AU191">
        <v>0</v>
      </c>
      <c r="AV191">
        <v>0</v>
      </c>
      <c r="AW191" t="b">
        <v>0</v>
      </c>
      <c r="AX191" t="b">
        <v>0</v>
      </c>
      <c r="AY191" t="s">
        <v>79</v>
      </c>
      <c r="AZ191" t="b">
        <v>0</v>
      </c>
      <c r="BA191" t="s">
        <v>216</v>
      </c>
      <c r="BB191" t="s">
        <v>217</v>
      </c>
      <c r="BC191" t="s">
        <v>218</v>
      </c>
      <c r="BD191" t="b">
        <v>0</v>
      </c>
      <c r="BE191">
        <v>1000</v>
      </c>
      <c r="BF191" t="b">
        <v>0</v>
      </c>
    </row>
    <row r="192" spans="1:58" x14ac:dyDescent="0.25">
      <c r="A192">
        <v>3.8</v>
      </c>
      <c r="B192">
        <v>6281</v>
      </c>
      <c r="C192" t="s">
        <v>176</v>
      </c>
      <c r="D192" t="s">
        <v>177</v>
      </c>
      <c r="E192">
        <v>0.90138888888888891</v>
      </c>
      <c r="F192" t="s">
        <v>178</v>
      </c>
      <c r="G192">
        <v>1</v>
      </c>
      <c r="H192">
        <v>15127</v>
      </c>
      <c r="K192" t="b">
        <v>1</v>
      </c>
      <c r="L192" t="s">
        <v>179</v>
      </c>
      <c r="M192">
        <v>1369478</v>
      </c>
      <c r="N192" t="s">
        <v>180</v>
      </c>
      <c r="O192">
        <v>1766146126000</v>
      </c>
      <c r="P192" t="s">
        <v>65</v>
      </c>
      <c r="S192" t="s">
        <v>181</v>
      </c>
      <c r="T192" t="s">
        <v>67</v>
      </c>
      <c r="U192" t="s">
        <v>68</v>
      </c>
      <c r="V192">
        <v>164080</v>
      </c>
      <c r="W192" t="b">
        <v>0</v>
      </c>
      <c r="X192">
        <v>0</v>
      </c>
      <c r="Y192" t="s">
        <v>182</v>
      </c>
      <c r="Z192" t="b">
        <v>0</v>
      </c>
      <c r="AA192" t="s">
        <v>183</v>
      </c>
      <c r="AB192">
        <v>191225503735</v>
      </c>
      <c r="AC192" t="s">
        <v>184</v>
      </c>
      <c r="AD192" t="s">
        <v>184</v>
      </c>
      <c r="AE192">
        <v>7</v>
      </c>
      <c r="AF192">
        <v>3</v>
      </c>
      <c r="AG192" t="s">
        <v>73</v>
      </c>
      <c r="AH192" t="s">
        <v>181</v>
      </c>
      <c r="AI192" t="s">
        <v>74</v>
      </c>
      <c r="AJ192" t="s">
        <v>75</v>
      </c>
      <c r="AK192" t="s">
        <v>76</v>
      </c>
      <c r="AL192" t="s">
        <v>135</v>
      </c>
      <c r="AM192" t="s">
        <v>78</v>
      </c>
      <c r="AN192" t="b">
        <v>0</v>
      </c>
      <c r="AO192">
        <v>1019</v>
      </c>
      <c r="AP192" t="s">
        <v>65</v>
      </c>
      <c r="AQ192" t="b">
        <v>1</v>
      </c>
      <c r="AR192">
        <v>0</v>
      </c>
      <c r="AS192">
        <v>0</v>
      </c>
      <c r="AT192">
        <v>0</v>
      </c>
      <c r="AU192">
        <v>0</v>
      </c>
      <c r="AV192">
        <v>0</v>
      </c>
      <c r="AW192" t="b">
        <v>0</v>
      </c>
      <c r="AX192" t="b">
        <v>0</v>
      </c>
      <c r="AY192" t="s">
        <v>79</v>
      </c>
      <c r="AZ192" t="b">
        <v>0</v>
      </c>
      <c r="BA192" t="s">
        <v>185</v>
      </c>
      <c r="BB192" t="s">
        <v>186</v>
      </c>
      <c r="BC192" t="s">
        <v>187</v>
      </c>
      <c r="BD192" t="b">
        <v>0</v>
      </c>
      <c r="BF192" t="b">
        <v>0</v>
      </c>
    </row>
    <row r="193" spans="1:58" x14ac:dyDescent="0.25">
      <c r="A193">
        <v>3.4</v>
      </c>
      <c r="B193">
        <v>47884</v>
      </c>
      <c r="C193" t="s">
        <v>83</v>
      </c>
      <c r="D193" t="s">
        <v>84</v>
      </c>
      <c r="E193">
        <v>0.62777777777777777</v>
      </c>
      <c r="G193">
        <v>1</v>
      </c>
      <c r="H193">
        <v>3730</v>
      </c>
      <c r="K193" t="b">
        <v>0</v>
      </c>
      <c r="M193">
        <v>2904476</v>
      </c>
      <c r="N193" t="s">
        <v>85</v>
      </c>
      <c r="O193">
        <v>1787808879920</v>
      </c>
      <c r="P193" t="s">
        <v>65</v>
      </c>
      <c r="S193" t="s">
        <v>86</v>
      </c>
      <c r="T193" t="s">
        <v>67</v>
      </c>
      <c r="U193" t="s">
        <v>87</v>
      </c>
      <c r="V193">
        <v>194354</v>
      </c>
      <c r="W193" t="b">
        <v>0</v>
      </c>
      <c r="X193">
        <v>0</v>
      </c>
      <c r="Y193" t="s">
        <v>88</v>
      </c>
      <c r="Z193" t="b">
        <v>1</v>
      </c>
      <c r="AA193" t="s">
        <v>89</v>
      </c>
      <c r="AB193">
        <v>270826010477</v>
      </c>
      <c r="AC193" t="s">
        <v>90</v>
      </c>
      <c r="AD193" t="s">
        <v>90</v>
      </c>
      <c r="AE193">
        <v>7</v>
      </c>
      <c r="AF193">
        <v>4</v>
      </c>
      <c r="AG193" t="s">
        <v>91</v>
      </c>
      <c r="AH193" t="s">
        <v>86</v>
      </c>
      <c r="AI193" t="s">
        <v>74</v>
      </c>
      <c r="AJ193" t="s">
        <v>75</v>
      </c>
      <c r="AK193" t="s">
        <v>76</v>
      </c>
      <c r="AL193" t="s">
        <v>92</v>
      </c>
      <c r="AM193" t="s">
        <v>78</v>
      </c>
      <c r="AN193" t="b">
        <v>1</v>
      </c>
      <c r="AO193">
        <v>1020</v>
      </c>
      <c r="AP193" t="s">
        <v>65</v>
      </c>
      <c r="AQ193" t="b">
        <v>1</v>
      </c>
      <c r="AR193">
        <v>0</v>
      </c>
      <c r="AS193">
        <v>0</v>
      </c>
      <c r="AT193">
        <v>0</v>
      </c>
      <c r="AU193">
        <v>0</v>
      </c>
      <c r="AV193">
        <v>0</v>
      </c>
      <c r="AW193" t="b">
        <v>0</v>
      </c>
      <c r="AX193" t="b">
        <v>0</v>
      </c>
      <c r="AY193" t="s">
        <v>79</v>
      </c>
      <c r="AZ193" t="b">
        <v>0</v>
      </c>
      <c r="BA193" t="s">
        <v>93</v>
      </c>
      <c r="BB193" t="s">
        <v>94</v>
      </c>
      <c r="BC193" t="s">
        <v>82</v>
      </c>
      <c r="BD193" t="b">
        <v>0</v>
      </c>
      <c r="BF193" t="b">
        <v>0</v>
      </c>
    </row>
    <row r="194" spans="1:58" x14ac:dyDescent="0.25">
      <c r="A194">
        <v>3.3</v>
      </c>
      <c r="B194">
        <v>13397</v>
      </c>
      <c r="C194" t="s">
        <v>95</v>
      </c>
      <c r="D194" t="s">
        <v>96</v>
      </c>
      <c r="E194">
        <v>0.69722222222222219</v>
      </c>
      <c r="G194">
        <v>1</v>
      </c>
      <c r="K194" t="b">
        <v>0</v>
      </c>
      <c r="M194">
        <v>676499</v>
      </c>
      <c r="N194" t="s">
        <v>97</v>
      </c>
      <c r="O194">
        <v>1787728452770</v>
      </c>
      <c r="P194" t="s">
        <v>65</v>
      </c>
      <c r="S194" t="s">
        <v>98</v>
      </c>
      <c r="T194" t="s">
        <v>67</v>
      </c>
      <c r="U194" t="s">
        <v>99</v>
      </c>
      <c r="V194">
        <v>9246</v>
      </c>
      <c r="W194" t="b">
        <v>0</v>
      </c>
      <c r="X194">
        <v>0</v>
      </c>
      <c r="Y194" t="s">
        <v>100</v>
      </c>
      <c r="Z194" t="b">
        <v>1</v>
      </c>
      <c r="AA194" t="s">
        <v>101</v>
      </c>
      <c r="AB194">
        <v>260826016031</v>
      </c>
      <c r="AC194" t="s">
        <v>102</v>
      </c>
      <c r="AD194" t="s">
        <v>102</v>
      </c>
      <c r="AE194">
        <v>8</v>
      </c>
      <c r="AF194">
        <v>4</v>
      </c>
      <c r="AG194" t="s">
        <v>91</v>
      </c>
      <c r="AH194" t="s">
        <v>98</v>
      </c>
      <c r="AI194" t="s">
        <v>74</v>
      </c>
      <c r="AJ194" t="s">
        <v>75</v>
      </c>
      <c r="AK194" t="s">
        <v>76</v>
      </c>
      <c r="AL194" t="s">
        <v>103</v>
      </c>
      <c r="AM194" t="s">
        <v>78</v>
      </c>
      <c r="AN194" t="b">
        <v>1</v>
      </c>
      <c r="AO194">
        <v>1019</v>
      </c>
      <c r="AP194" t="s">
        <v>65</v>
      </c>
      <c r="AQ194" t="b">
        <v>1</v>
      </c>
      <c r="AR194">
        <v>0</v>
      </c>
      <c r="AS194">
        <v>0</v>
      </c>
      <c r="AT194">
        <v>0</v>
      </c>
      <c r="AU194">
        <v>0</v>
      </c>
      <c r="AV194">
        <v>0</v>
      </c>
      <c r="AW194" t="b">
        <v>0</v>
      </c>
      <c r="AX194" t="b">
        <v>0</v>
      </c>
      <c r="AY194" t="s">
        <v>79</v>
      </c>
      <c r="AZ194" t="b">
        <v>0</v>
      </c>
      <c r="BA194" t="s">
        <v>104</v>
      </c>
      <c r="BB194" t="s">
        <v>105</v>
      </c>
      <c r="BC194" t="s">
        <v>82</v>
      </c>
      <c r="BD194" t="b">
        <v>0</v>
      </c>
      <c r="BE194">
        <v>4</v>
      </c>
      <c r="BF194" t="b">
        <v>0</v>
      </c>
    </row>
    <row r="195" spans="1:58" x14ac:dyDescent="0.25">
      <c r="E195">
        <v>0.91874999999999996</v>
      </c>
      <c r="F195" t="s">
        <v>188</v>
      </c>
      <c r="G195">
        <v>1</v>
      </c>
      <c r="K195" t="b">
        <v>1</v>
      </c>
      <c r="L195" t="s">
        <v>189</v>
      </c>
      <c r="M195">
        <v>125076821</v>
      </c>
      <c r="N195" t="s">
        <v>190</v>
      </c>
      <c r="O195">
        <v>1783341207000</v>
      </c>
      <c r="P195" t="s">
        <v>65</v>
      </c>
      <c r="S195" t="s">
        <v>191</v>
      </c>
      <c r="T195" t="s">
        <v>67</v>
      </c>
      <c r="U195" t="s">
        <v>68</v>
      </c>
      <c r="V195">
        <v>7029887</v>
      </c>
      <c r="W195" t="b">
        <v>0</v>
      </c>
      <c r="X195">
        <v>0</v>
      </c>
      <c r="Y195" t="s">
        <v>192</v>
      </c>
      <c r="Z195" t="b">
        <v>0</v>
      </c>
      <c r="AA195" t="s">
        <v>193</v>
      </c>
      <c r="AB195" t="s">
        <v>194</v>
      </c>
      <c r="AC195" t="s">
        <v>195</v>
      </c>
      <c r="AD195" t="s">
        <v>195</v>
      </c>
      <c r="AE195">
        <v>10</v>
      </c>
      <c r="AF195">
        <v>5</v>
      </c>
      <c r="AG195" t="s">
        <v>73</v>
      </c>
      <c r="AH195" t="s">
        <v>191</v>
      </c>
      <c r="AI195" t="s">
        <v>74</v>
      </c>
      <c r="AJ195" t="s">
        <v>75</v>
      </c>
      <c r="AK195" t="s">
        <v>76</v>
      </c>
      <c r="AL195" t="s">
        <v>135</v>
      </c>
      <c r="AM195" t="s">
        <v>78</v>
      </c>
      <c r="AN195" t="b">
        <v>0</v>
      </c>
      <c r="AO195">
        <v>1019</v>
      </c>
      <c r="AP195" t="s">
        <v>65</v>
      </c>
      <c r="AQ195" t="b">
        <v>1</v>
      </c>
      <c r="AR195">
        <v>0</v>
      </c>
      <c r="AS195">
        <v>0</v>
      </c>
      <c r="AT195">
        <v>0</v>
      </c>
      <c r="AU195">
        <v>0</v>
      </c>
      <c r="AV195">
        <v>0</v>
      </c>
      <c r="AW195" t="b">
        <v>0</v>
      </c>
      <c r="AX195" t="b">
        <v>0</v>
      </c>
      <c r="AY195" t="s">
        <v>79</v>
      </c>
      <c r="AZ195" t="b">
        <v>0</v>
      </c>
      <c r="BA195" t="s">
        <v>196</v>
      </c>
      <c r="BB195" t="s">
        <v>197</v>
      </c>
      <c r="BC195" t="s">
        <v>198</v>
      </c>
      <c r="BD195" t="b">
        <v>0</v>
      </c>
      <c r="BF195" t="b">
        <v>0</v>
      </c>
    </row>
    <row r="196" spans="1:58" x14ac:dyDescent="0.25">
      <c r="A196">
        <v>3.9</v>
      </c>
      <c r="B196">
        <v>26716</v>
      </c>
      <c r="C196" t="s">
        <v>126</v>
      </c>
      <c r="D196" t="s">
        <v>127</v>
      </c>
      <c r="E196">
        <v>0.74861111111111112</v>
      </c>
      <c r="F196" t="s">
        <v>128</v>
      </c>
      <c r="G196">
        <v>1</v>
      </c>
      <c r="H196">
        <v>10201</v>
      </c>
      <c r="K196" t="b">
        <v>1</v>
      </c>
      <c r="L196" t="s">
        <v>129</v>
      </c>
      <c r="M196">
        <v>16987</v>
      </c>
      <c r="N196" t="s">
        <v>130</v>
      </c>
      <c r="O196">
        <v>1787819294543</v>
      </c>
      <c r="P196" t="s">
        <v>65</v>
      </c>
      <c r="S196" t="s">
        <v>131</v>
      </c>
      <c r="T196" t="s">
        <v>67</v>
      </c>
      <c r="U196" t="s">
        <v>87</v>
      </c>
      <c r="V196">
        <v>19288</v>
      </c>
      <c r="W196" t="b">
        <v>0</v>
      </c>
      <c r="X196">
        <v>0</v>
      </c>
      <c r="Y196" t="s">
        <v>132</v>
      </c>
      <c r="Z196" t="b">
        <v>0</v>
      </c>
      <c r="AA196" t="s">
        <v>133</v>
      </c>
      <c r="AB196">
        <v>270826917532</v>
      </c>
      <c r="AC196" t="s">
        <v>134</v>
      </c>
      <c r="AD196" t="s">
        <v>134</v>
      </c>
      <c r="AE196">
        <v>8</v>
      </c>
      <c r="AF196">
        <v>6</v>
      </c>
      <c r="AG196" t="s">
        <v>91</v>
      </c>
      <c r="AH196" t="s">
        <v>131</v>
      </c>
      <c r="AI196" t="s">
        <v>74</v>
      </c>
      <c r="AJ196" t="s">
        <v>75</v>
      </c>
      <c r="AK196" t="s">
        <v>76</v>
      </c>
      <c r="AL196" t="s">
        <v>135</v>
      </c>
      <c r="AM196" t="s">
        <v>78</v>
      </c>
      <c r="AN196" t="b">
        <v>0</v>
      </c>
      <c r="AO196">
        <v>1019</v>
      </c>
      <c r="AP196" t="s">
        <v>65</v>
      </c>
      <c r="AQ196" t="b">
        <v>1</v>
      </c>
      <c r="AR196">
        <v>0</v>
      </c>
      <c r="AS196">
        <v>0</v>
      </c>
      <c r="AT196">
        <v>0</v>
      </c>
      <c r="AU196">
        <v>0</v>
      </c>
      <c r="AV196">
        <v>0</v>
      </c>
      <c r="AW196" t="b">
        <v>0</v>
      </c>
      <c r="AX196" t="b">
        <v>0</v>
      </c>
      <c r="AY196" t="s">
        <v>79</v>
      </c>
      <c r="AZ196" t="b">
        <v>0</v>
      </c>
      <c r="BA196" t="s">
        <v>136</v>
      </c>
      <c r="BB196" t="s">
        <v>137</v>
      </c>
      <c r="BC196" t="s">
        <v>138</v>
      </c>
      <c r="BD196" t="b">
        <v>0</v>
      </c>
      <c r="BF196" t="b">
        <v>0</v>
      </c>
    </row>
    <row r="197" spans="1:58" x14ac:dyDescent="0.25">
      <c r="A197">
        <v>3.9</v>
      </c>
      <c r="B197">
        <v>26716</v>
      </c>
      <c r="C197" t="s">
        <v>126</v>
      </c>
      <c r="D197" t="s">
        <v>127</v>
      </c>
      <c r="E197">
        <v>0.5805555555555556</v>
      </c>
      <c r="F197" t="s">
        <v>139</v>
      </c>
      <c r="G197">
        <v>1</v>
      </c>
      <c r="H197">
        <v>10201</v>
      </c>
      <c r="K197" t="b">
        <v>1</v>
      </c>
      <c r="L197" t="s">
        <v>140</v>
      </c>
      <c r="M197">
        <v>16987</v>
      </c>
      <c r="N197" t="s">
        <v>130</v>
      </c>
      <c r="O197">
        <v>1787718372586</v>
      </c>
      <c r="P197" t="s">
        <v>65</v>
      </c>
      <c r="S197" t="s">
        <v>118</v>
      </c>
      <c r="T197" t="s">
        <v>67</v>
      </c>
      <c r="U197" t="s">
        <v>99</v>
      </c>
      <c r="V197">
        <v>19288</v>
      </c>
      <c r="W197" t="b">
        <v>0</v>
      </c>
      <c r="X197">
        <v>0</v>
      </c>
      <c r="Y197" t="s">
        <v>141</v>
      </c>
      <c r="Z197" t="b">
        <v>0</v>
      </c>
      <c r="AA197" t="s">
        <v>142</v>
      </c>
      <c r="AB197">
        <v>260826909019</v>
      </c>
      <c r="AC197" t="s">
        <v>134</v>
      </c>
      <c r="AD197" t="s">
        <v>134</v>
      </c>
      <c r="AE197">
        <v>10</v>
      </c>
      <c r="AF197">
        <v>8</v>
      </c>
      <c r="AG197" t="s">
        <v>91</v>
      </c>
      <c r="AH197" t="s">
        <v>118</v>
      </c>
      <c r="AI197" t="s">
        <v>74</v>
      </c>
      <c r="AJ197" t="s">
        <v>75</v>
      </c>
      <c r="AK197" t="s">
        <v>76</v>
      </c>
      <c r="AL197" t="s">
        <v>135</v>
      </c>
      <c r="AM197" t="s">
        <v>78</v>
      </c>
      <c r="AN197" t="b">
        <v>0</v>
      </c>
      <c r="AO197">
        <v>1019</v>
      </c>
      <c r="AP197" t="s">
        <v>65</v>
      </c>
      <c r="AQ197" t="b">
        <v>1</v>
      </c>
      <c r="AR197">
        <v>0</v>
      </c>
      <c r="AS197">
        <v>0</v>
      </c>
      <c r="AT197">
        <v>0</v>
      </c>
      <c r="AU197">
        <v>0</v>
      </c>
      <c r="AV197">
        <v>0</v>
      </c>
      <c r="AW197" t="b">
        <v>0</v>
      </c>
      <c r="AX197" t="b">
        <v>0</v>
      </c>
      <c r="AY197" t="s">
        <v>79</v>
      </c>
      <c r="AZ197" t="b">
        <v>0</v>
      </c>
      <c r="BA197" t="s">
        <v>136</v>
      </c>
      <c r="BB197" t="s">
        <v>143</v>
      </c>
      <c r="BC197" t="s">
        <v>138</v>
      </c>
      <c r="BD197" t="b">
        <v>0</v>
      </c>
      <c r="BF197" t="b">
        <v>0</v>
      </c>
    </row>
    <row r="198" spans="1:58" x14ac:dyDescent="0.25">
      <c r="A198">
        <v>3.9</v>
      </c>
      <c r="B198">
        <v>26716</v>
      </c>
      <c r="C198" t="s">
        <v>126</v>
      </c>
      <c r="D198" t="s">
        <v>127</v>
      </c>
      <c r="E198">
        <v>0.79583333333333328</v>
      </c>
      <c r="F198" t="s">
        <v>199</v>
      </c>
      <c r="G198">
        <v>1</v>
      </c>
      <c r="H198">
        <v>10201</v>
      </c>
      <c r="K198" t="b">
        <v>1</v>
      </c>
      <c r="L198" t="s">
        <v>200</v>
      </c>
      <c r="M198">
        <v>16987</v>
      </c>
      <c r="N198" t="s">
        <v>130</v>
      </c>
      <c r="O198">
        <v>1787218594529</v>
      </c>
      <c r="P198" t="s">
        <v>65</v>
      </c>
      <c r="S198" t="s">
        <v>191</v>
      </c>
      <c r="T198" t="s">
        <v>67</v>
      </c>
      <c r="U198" t="s">
        <v>201</v>
      </c>
      <c r="V198">
        <v>19288</v>
      </c>
      <c r="W198" t="b">
        <v>0</v>
      </c>
      <c r="X198">
        <v>0</v>
      </c>
      <c r="Y198" t="s">
        <v>202</v>
      </c>
      <c r="Z198" t="b">
        <v>0</v>
      </c>
      <c r="AA198" t="s">
        <v>203</v>
      </c>
      <c r="AB198">
        <v>200826923685</v>
      </c>
      <c r="AC198" t="s">
        <v>134</v>
      </c>
      <c r="AD198" t="s">
        <v>134</v>
      </c>
      <c r="AE198">
        <v>10</v>
      </c>
      <c r="AF198">
        <v>5</v>
      </c>
      <c r="AG198" t="s">
        <v>91</v>
      </c>
      <c r="AH198" t="s">
        <v>191</v>
      </c>
      <c r="AI198" t="s">
        <v>74</v>
      </c>
      <c r="AJ198" t="s">
        <v>75</v>
      </c>
      <c r="AK198" t="s">
        <v>76</v>
      </c>
      <c r="AL198" t="s">
        <v>135</v>
      </c>
      <c r="AM198" t="s">
        <v>78</v>
      </c>
      <c r="AN198" t="b">
        <v>0</v>
      </c>
      <c r="AO198">
        <v>1019</v>
      </c>
      <c r="AP198" t="s">
        <v>65</v>
      </c>
      <c r="AQ198" t="b">
        <v>1</v>
      </c>
      <c r="AR198">
        <v>0</v>
      </c>
      <c r="AS198">
        <v>0</v>
      </c>
      <c r="AT198">
        <v>0</v>
      </c>
      <c r="AU198">
        <v>0</v>
      </c>
      <c r="AV198">
        <v>0</v>
      </c>
      <c r="AW198" t="b">
        <v>0</v>
      </c>
      <c r="AX198" t="b">
        <v>0</v>
      </c>
      <c r="AY198" t="s">
        <v>79</v>
      </c>
      <c r="AZ198" t="b">
        <v>0</v>
      </c>
      <c r="BA198" t="s">
        <v>136</v>
      </c>
      <c r="BB198" t="s">
        <v>204</v>
      </c>
      <c r="BC198" t="s">
        <v>138</v>
      </c>
      <c r="BD198" t="b">
        <v>0</v>
      </c>
      <c r="BF198" t="b">
        <v>0</v>
      </c>
    </row>
    <row r="199" spans="1:58" x14ac:dyDescent="0.25">
      <c r="A199">
        <v>3.2</v>
      </c>
      <c r="B199">
        <v>118481</v>
      </c>
      <c r="C199" t="s">
        <v>144</v>
      </c>
      <c r="D199" t="s">
        <v>145</v>
      </c>
      <c r="E199">
        <v>0.8208333333333333</v>
      </c>
      <c r="G199">
        <v>1</v>
      </c>
      <c r="H199">
        <v>2949</v>
      </c>
      <c r="K199" t="b">
        <v>0</v>
      </c>
      <c r="M199">
        <v>892542</v>
      </c>
      <c r="N199" t="s">
        <v>146</v>
      </c>
      <c r="O199">
        <v>1787911934859</v>
      </c>
      <c r="P199" t="s">
        <v>65</v>
      </c>
      <c r="S199" t="s">
        <v>147</v>
      </c>
      <c r="T199" t="s">
        <v>67</v>
      </c>
      <c r="U199" t="s">
        <v>119</v>
      </c>
      <c r="V199">
        <v>223346</v>
      </c>
      <c r="W199" t="b">
        <v>0</v>
      </c>
      <c r="X199">
        <v>0</v>
      </c>
      <c r="Y199" t="s">
        <v>148</v>
      </c>
      <c r="Z199" t="b">
        <v>1</v>
      </c>
      <c r="AA199" t="s">
        <v>149</v>
      </c>
      <c r="AB199">
        <v>280826008430</v>
      </c>
      <c r="AC199" t="s">
        <v>150</v>
      </c>
      <c r="AD199" t="s">
        <v>150</v>
      </c>
      <c r="AE199">
        <v>10</v>
      </c>
      <c r="AF199">
        <v>6</v>
      </c>
      <c r="AG199" t="s">
        <v>91</v>
      </c>
      <c r="AH199" t="s">
        <v>147</v>
      </c>
      <c r="AI199" t="s">
        <v>74</v>
      </c>
      <c r="AJ199" t="s">
        <v>75</v>
      </c>
      <c r="AK199" t="s">
        <v>76</v>
      </c>
      <c r="AL199" t="s">
        <v>151</v>
      </c>
      <c r="AM199" t="s">
        <v>78</v>
      </c>
      <c r="AN199" t="b">
        <v>0</v>
      </c>
      <c r="AO199">
        <v>1019</v>
      </c>
      <c r="AP199" t="s">
        <v>65</v>
      </c>
      <c r="AQ199" t="b">
        <v>1</v>
      </c>
      <c r="AR199">
        <v>0</v>
      </c>
      <c r="AS199">
        <v>0</v>
      </c>
      <c r="AT199">
        <v>0</v>
      </c>
      <c r="AU199">
        <v>0</v>
      </c>
      <c r="AV199">
        <v>0</v>
      </c>
      <c r="AW199" t="b">
        <v>0</v>
      </c>
      <c r="AX199" t="b">
        <v>0</v>
      </c>
      <c r="AY199" t="s">
        <v>79</v>
      </c>
      <c r="AZ199" t="b">
        <v>0</v>
      </c>
      <c r="BA199" t="s">
        <v>152</v>
      </c>
      <c r="BB199" t="s">
        <v>153</v>
      </c>
      <c r="BC199" t="s">
        <v>82</v>
      </c>
      <c r="BD199" t="b">
        <v>0</v>
      </c>
      <c r="BF199" t="b">
        <v>0</v>
      </c>
    </row>
    <row r="200" spans="1:58" x14ac:dyDescent="0.25">
      <c r="A200">
        <v>3.7</v>
      </c>
      <c r="B200">
        <v>6800</v>
      </c>
      <c r="C200" t="s">
        <v>165</v>
      </c>
      <c r="D200" t="s">
        <v>166</v>
      </c>
      <c r="E200">
        <v>0.92569444444444449</v>
      </c>
      <c r="G200">
        <v>1</v>
      </c>
      <c r="H200">
        <v>2639</v>
      </c>
      <c r="K200" t="b">
        <v>0</v>
      </c>
      <c r="M200">
        <v>19934</v>
      </c>
      <c r="N200" t="s">
        <v>167</v>
      </c>
      <c r="O200">
        <v>1787316218988</v>
      </c>
      <c r="P200" t="s">
        <v>65</v>
      </c>
      <c r="S200" t="s">
        <v>168</v>
      </c>
      <c r="T200" t="s">
        <v>67</v>
      </c>
      <c r="U200" t="s">
        <v>169</v>
      </c>
      <c r="V200">
        <v>21746</v>
      </c>
      <c r="W200" t="b">
        <v>0</v>
      </c>
      <c r="X200">
        <v>0</v>
      </c>
      <c r="Y200" t="s">
        <v>170</v>
      </c>
      <c r="Z200" t="b">
        <v>1</v>
      </c>
      <c r="AA200" t="s">
        <v>171</v>
      </c>
      <c r="AB200">
        <v>210826932923</v>
      </c>
      <c r="AC200" t="s">
        <v>172</v>
      </c>
      <c r="AD200" t="s">
        <v>172</v>
      </c>
      <c r="AE200">
        <v>13</v>
      </c>
      <c r="AF200">
        <v>8</v>
      </c>
      <c r="AG200" t="s">
        <v>91</v>
      </c>
      <c r="AH200" t="s">
        <v>168</v>
      </c>
      <c r="AI200" t="s">
        <v>74</v>
      </c>
      <c r="AJ200" t="s">
        <v>75</v>
      </c>
      <c r="AK200" t="s">
        <v>76</v>
      </c>
      <c r="AL200" t="s">
        <v>135</v>
      </c>
      <c r="AM200" t="s">
        <v>78</v>
      </c>
      <c r="AN200" t="b">
        <v>0</v>
      </c>
      <c r="AO200">
        <v>1028</v>
      </c>
      <c r="AP200" t="s">
        <v>65</v>
      </c>
      <c r="AQ200" t="b">
        <v>1</v>
      </c>
      <c r="AR200">
        <v>0</v>
      </c>
      <c r="AS200">
        <v>0</v>
      </c>
      <c r="AT200">
        <v>0</v>
      </c>
      <c r="AU200">
        <v>0</v>
      </c>
      <c r="AV200">
        <v>0</v>
      </c>
      <c r="AW200" t="b">
        <v>0</v>
      </c>
      <c r="AX200" t="b">
        <v>0</v>
      </c>
      <c r="AY200" t="s">
        <v>79</v>
      </c>
      <c r="AZ200" t="b">
        <v>0</v>
      </c>
      <c r="BA200" t="s">
        <v>173</v>
      </c>
      <c r="BB200" t="s">
        <v>174</v>
      </c>
      <c r="BC200" t="s">
        <v>175</v>
      </c>
      <c r="BD200" t="b">
        <v>0</v>
      </c>
      <c r="BF200" t="b">
        <v>0</v>
      </c>
    </row>
    <row r="201" spans="1:58" x14ac:dyDescent="0.25">
      <c r="A201">
        <v>3.5</v>
      </c>
      <c r="B201">
        <v>50684</v>
      </c>
      <c r="C201" t="s">
        <v>205</v>
      </c>
      <c r="D201" t="s">
        <v>206</v>
      </c>
      <c r="E201">
        <v>0.90694444444444444</v>
      </c>
      <c r="G201">
        <v>1</v>
      </c>
      <c r="I201">
        <v>1</v>
      </c>
      <c r="J201" t="s">
        <v>207</v>
      </c>
      <c r="K201" t="b">
        <v>0</v>
      </c>
      <c r="M201">
        <v>124269780</v>
      </c>
      <c r="N201" t="s">
        <v>208</v>
      </c>
      <c r="O201">
        <v>1787573805796</v>
      </c>
      <c r="P201" t="s">
        <v>65</v>
      </c>
      <c r="Q201" t="s">
        <v>209</v>
      </c>
      <c r="R201" t="b">
        <v>0</v>
      </c>
      <c r="S201" t="s">
        <v>210</v>
      </c>
      <c r="T201" t="s">
        <v>67</v>
      </c>
      <c r="U201" t="s">
        <v>211</v>
      </c>
      <c r="V201">
        <v>13832</v>
      </c>
      <c r="W201" t="b">
        <v>0</v>
      </c>
      <c r="X201">
        <v>0</v>
      </c>
      <c r="Y201" t="s">
        <v>212</v>
      </c>
      <c r="Z201" t="b">
        <v>0</v>
      </c>
      <c r="AA201" t="s">
        <v>213</v>
      </c>
      <c r="AB201">
        <v>170826004896</v>
      </c>
      <c r="AC201" t="s">
        <v>214</v>
      </c>
      <c r="AD201" t="s">
        <v>214</v>
      </c>
      <c r="AE201">
        <v>8</v>
      </c>
      <c r="AF201">
        <v>5</v>
      </c>
      <c r="AG201" t="s">
        <v>91</v>
      </c>
      <c r="AH201" t="s">
        <v>210</v>
      </c>
      <c r="AI201" t="s">
        <v>74</v>
      </c>
      <c r="AJ201" t="s">
        <v>75</v>
      </c>
      <c r="AK201" t="s">
        <v>76</v>
      </c>
      <c r="AL201" t="s">
        <v>215</v>
      </c>
      <c r="AM201" t="s">
        <v>78</v>
      </c>
      <c r="AN201" t="b">
        <v>1</v>
      </c>
      <c r="AO201">
        <v>1028</v>
      </c>
      <c r="AP201" t="s">
        <v>65</v>
      </c>
      <c r="AQ201" t="b">
        <v>1</v>
      </c>
      <c r="AR201">
        <v>0</v>
      </c>
      <c r="AS201">
        <v>0</v>
      </c>
      <c r="AT201">
        <v>0</v>
      </c>
      <c r="AU201">
        <v>0</v>
      </c>
      <c r="AV201">
        <v>0</v>
      </c>
      <c r="AW201" t="b">
        <v>0</v>
      </c>
      <c r="AX201" t="b">
        <v>0</v>
      </c>
      <c r="AY201" t="s">
        <v>79</v>
      </c>
      <c r="AZ201" t="b">
        <v>0</v>
      </c>
      <c r="BA201" t="s">
        <v>216</v>
      </c>
      <c r="BB201" t="s">
        <v>217</v>
      </c>
      <c r="BC201" t="s">
        <v>218</v>
      </c>
      <c r="BD201" t="b">
        <v>0</v>
      </c>
      <c r="BE201">
        <v>1000</v>
      </c>
      <c r="BF201"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Naukri Broad</vt:lpstr>
      <vt:lpstr>Layoffs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Nikhil Arela</dc:creator>
  <cp:lastModifiedBy>Nikhil Arela</cp:lastModifiedBy>
  <dcterms:created xsi:type="dcterms:W3CDTF">2015-06-05T18:17:20Z</dcterms:created>
  <dcterms:modified xsi:type="dcterms:W3CDTF">2026-08-31T03:36:20Z</dcterms:modified>
</cp:coreProperties>
</file>